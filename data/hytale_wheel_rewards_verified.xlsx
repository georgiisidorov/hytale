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824cf875864c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Настройки" sheetId="1" r:id="Rcf14de83089642e0"/>
    <x:sheet xmlns:r="http://schemas.openxmlformats.org/officeDocument/2006/relationships" name="Reward Pool" sheetId="2" r:id="R2d38875d2f114c02"/>
    <x:sheet xmlns:r="http://schemas.openxmlformats.org/officeDocument/2006/relationships" name="12 слотов" sheetId="3" r:id="R7f869650ecd14e14"/>
    <x:sheet xmlns:r="http://schemas.openxmlformats.org/officeDocument/2006/relationships" name="Паки" sheetId="4" r:id="R43f716a2369b4606"/>
    <x:sheet xmlns:r="http://schemas.openxmlformats.org/officeDocument/2006/relationships" name="Проверка предметов" sheetId="5" r:id="R2fa2291dc9df4d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#,##0"/>
    <x:numFmt numFmtId="202" formatCode="0.0000"/>
  </x:numFmts>
  <x:fonts count="2">
    <x:font>
      <x:sz val="11"/>
      <x:name val="Carlito"/>
    </x:font>
    <x:font>
      <x:b/>
      <x:sz val="11"/>
      <x:color rgb="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E5E7EB"/>
      </x:patternFill>
    </x:fill>
    <x:fill>
      <x:patternFill patternType="solid">
        <x:fgColor rgb="BFDBFE"/>
      </x:patternFill>
    </x:fill>
    <x:fill>
      <x:patternFill patternType="solid">
        <x:fgColor rgb="E9D5FF"/>
      </x:patternFill>
    </x:fill>
    <x:fill>
      <x:patternFill patternType="solid">
        <x:fgColor rgb="FDE68A"/>
      </x:patternFill>
    </x:fill>
    <x:fill>
      <x:patternFill patternType="solid">
        <x:fgColor rgb="FBCFE8"/>
      </x:patternFill>
    </x:fill>
    <x:fill>
      <x:patternFill patternType="solid">
        <x:fgColor rgb="FCA5A5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201" fontId="0" fillId="3" borderId="0" xfId="0" applyNumberFormat="1" applyFont="1" applyFill="1" applyBorder="1" applyAlignment="1">
      <x:alignment wrapText="1"/>
    </x:xf>
    <x:xf numFmtId="202" fontId="0" fillId="3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1" fontId="0" fillId="3" borderId="1" xfId="0" applyNumberFormat="1" applyFont="1" applyFill="1" applyBorder="1" applyAlignment="1">
      <x:alignment wrapText="1"/>
    </x:xf>
    <x:xf numFmtId="202" fontId="0" fillId="3" borderId="1" xfId="0" applyNumberFormat="1" applyFont="1" applyFill="1" applyBorder="1" applyAlignment="1">
      <x:alignment wrapText="1"/>
    </x:xf>
    <x:xf numFmtId="20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1" fontId="0" fillId="4" borderId="0" xfId="0" applyNumberFormat="1" applyFont="1" applyFill="1" applyBorder="1" applyAlignment="1">
      <x:alignment wrapText="1"/>
    </x:xf>
    <x:xf numFmtId="202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1" fontId="0" fillId="4" borderId="1" xfId="0" applyNumberFormat="1" applyFont="1" applyFill="1" applyBorder="1" applyAlignment="1">
      <x:alignment wrapText="1"/>
    </x:xf>
    <x:xf numFmtId="202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2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2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202" fontId="0" fillId="6" borderId="1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201" fontId="0" fillId="7" borderId="0" xfId="0" applyNumberFormat="1" applyFont="1" applyFill="1" applyBorder="1" applyAlignment="1">
      <x:alignment wrapText="1"/>
    </x:xf>
    <x:xf numFmtId="202" fontId="0" fillId="7" borderId="0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1" fontId="0" fillId="7" borderId="1" xfId="0" applyNumberFormat="1" applyFont="1" applyFill="1" applyBorder="1" applyAlignment="1">
      <x:alignment wrapText="1"/>
    </x:xf>
    <x:xf numFmtId="202" fontId="0" fillId="7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201" fontId="0" fillId="8" borderId="0" xfId="0" applyNumberFormat="1" applyFont="1" applyFill="1" applyBorder="1" applyAlignment="1">
      <x:alignment wrapText="1"/>
    </x:xf>
    <x:xf numFmtId="202" fontId="0" fillId="8" borderId="0" xfId="0" applyNumberFormat="1" applyFont="1" applyFill="1" applyBorder="1" applyAlignment="1">
      <x:alignment wrapText="1"/>
    </x:xf>
    <x:xf numFmtId="20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201" fontId="0" fillId="8" borderId="1" xfId="0" applyNumberFormat="1" applyFont="1" applyFill="1" applyBorder="1" applyAlignment="1">
      <x:alignment wrapText="1"/>
    </x:xf>
    <x:xf numFmtId="202" fontId="0" fillId="8" borderId="1" xfId="0" applyNumberFormat="1" applyFont="1" applyFill="1" applyBorder="1" applyAlignment="1">
      <x:alignment wrapText="1"/>
    </x:xf>
    <x:xf numFmtId="200" fontId="0" fillId="8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9633ca4a254e8e" /><Relationship Type="http://schemas.openxmlformats.org/officeDocument/2006/relationships/theme" Target="/xl/theme/theme1.xml" Id="R36928a3f118b4c8d" /><Relationship Type="http://schemas.openxmlformats.org/officeDocument/2006/relationships/sharedStrings" Target="/xl/sharedStrings.xml" Id="R5be04e5634734d13" /><Relationship Type="http://schemas.openxmlformats.org/officeDocument/2006/relationships/worksheet" Target="/xl/worksheets/sheet1.xml" Id="Rcf14de83089642e0" /><Relationship Type="http://schemas.openxmlformats.org/officeDocument/2006/relationships/worksheet" Target="/xl/worksheets/sheet2.xml" Id="R2d38875d2f114c02" /><Relationship Type="http://schemas.openxmlformats.org/officeDocument/2006/relationships/worksheet" Target="/xl/worksheets/sheet3.xml" Id="R7f869650ecd14e14" /><Relationship Type="http://schemas.openxmlformats.org/officeDocument/2006/relationships/worksheet" Target="/xl/worksheets/sheet4.xml" Id="R43f716a2369b4606" /><Relationship Type="http://schemas.openxmlformats.org/officeDocument/2006/relationships/worksheet" Target="/xl/worksheets/sheet5.xml" Id="R2fa2291dc9df4ddd" /></Relationships>
</file>

<file path=xl/tables/table1.xml><?xml version="1.0" encoding="utf-8"?>
<x:table xmlns:x="http://schemas.openxmlformats.org/spreadsheetml/2006/main" id="1" name="RewardPoolTable" displayName="RewardPoolTable" ref="A1:N52" headerRowCount="1">
  <x:tableColumns count="14">
    <x:tableColumn id="1" name="Reward ID"/>
    <x:tableColumn id="2" name="Тип"/>
    <x:tableColumn id="3" name="Редкость"/>
    <x:tableColumn id="4" name="Награда"/>
    <x:tableColumn id="5" name="Item / Pack Name"/>
    <x:tableColumn id="6" name="Item ID / Pack ID"/>
    <x:tableColumn id="7" name="Кол-во"/>
    <x:tableColumn id="8" name="Вес из 1 000 000"/>
    <x:tableColumn id="9" name="Шанс %"/>
    <x:tableColumn id="10" name="Примерно 1 из N"/>
    <x:tableColumn id="11" name="Оценочная ценность"/>
    <x:tableColumn id="12" name="EV на 1 спин"/>
    <x:tableColumn id="13" name="Проверка"/>
    <x:tableColumn id="14" name="Комментарий"/>
  </x:tableColumns>
  <x:tableStyleInfo name="TableStyleMedium2" showRowStripes="1"/>
</x:table>
</file>

<file path=xl/tables/table2.xml><?xml version="1.0" encoding="utf-8"?>
<x:table xmlns:x="http://schemas.openxmlformats.org/spreadsheetml/2006/main" id="3" name="WheelSlotsTable" displayName="WheelSlotsTable" ref="A1:F13" headerRowCount="1">
  <x:tableColumns count="6">
    <x:tableColumn id="1" name="Слот"/>
    <x:tableColumn id="2" name="Витринная награда"/>
    <x:tableColumn id="3" name="Тип"/>
    <x:tableColumn id="4" name="Редкость"/>
    <x:tableColumn id="5" name="ID"/>
    <x:tableColumn id="6" name="Комментарий"/>
  </x:tableColumns>
  <x:tableStyleInfo name="TableStyleMedium2" showRowStripes="1"/>
</x:table>
</file>

<file path=xl/tables/table3.xml><?xml version="1.0" encoding="utf-8"?>
<x:table xmlns:x="http://schemas.openxmlformats.org/spreadsheetml/2006/main" id="2" name="LootPacksTable" displayName="LootPacksTable" ref="A1:G41" headerRowCount="1">
  <x:tableColumns count="7">
    <x:tableColumn id="1" name="Pack ID"/>
    <x:tableColumn id="2" name="Пак"/>
    <x:tableColumn id="3" name="Категория"/>
    <x:tableColumn id="4" name="Item"/>
    <x:tableColumn id="5" name="Item ID"/>
    <x:tableColumn id="6" name="Кол-во"/>
    <x:tableColumn id="7" name="Проверка"/>
  </x:tableColumns>
  <x:tableStyleInfo name="TableStyleMedium2" showRowStripes="1"/>
</x:table>
</file>

<file path=xl/tables/table4.xml><?xml version="1.0" encoding="utf-8"?>
<x:table xmlns:x="http://schemas.openxmlformats.org/spreadsheetml/2006/main" id="4" name="ItemsAuditTable" displayName="ItemsAuditTable" ref="A1:E53" headerRowCount="1">
  <x:tableColumns count="5">
    <x:tableColumn id="1" name="Item"/>
    <x:tableColumn id="2" name="Item ID"/>
    <x:tableColumn id="3" name="Строка в hytale_items.xlsx"/>
    <x:tableColumn id="4" name="Источник"/>
    <x:tableColumn id="5" name="Проверк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2e8a1bae3b49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7c97273cae4c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7cac042e8040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62975063b9402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58" hidden="0" customWidth="1"/>
  </x:cols>
  <x:sheetData>
    <x:row r="1">
      <x:c r="A1" s="10" t="str">
        <x:v>Параметр</x:v>
      </x:c>
      <x:c r="B1" s="10" t="str">
        <x:v>Значение</x:v>
      </x:c>
      <x:c r="C1" s="10" t="str">
        <x:v>Комментарий</x:v>
      </x:c>
    </x:row>
    <x:row r="2">
      <x:c r="A2" s="12" t="str">
        <x:v>Видимые слоты рулетки</x:v>
      </x:c>
      <x:c r="B2" s="12" t="n">
        <x:v>12</x:v>
      </x:c>
      <x:c r="C2" s="12" t="str">
        <x:v>По предоставленному изображению интерфейса</x:v>
      </x:c>
    </x:row>
    <x:row r="3">
      <x:c r="A3" s="12" t="str">
        <x:v>Основная валюта спина</x:v>
      </x:c>
      <x:c r="B3" s="12" t="str">
        <x:v>Coins или Crystals</x:v>
      </x:c>
      <x:c r="C3" s="12" t="str">
        <x:v>Можно использовать одну из двух моделей оплаты</x:v>
      </x:c>
    </x:row>
    <x:row r="4">
      <x:c r="A4" s="12" t="str">
        <x:v>Цена 1 спина, монеты</x:v>
      </x:c>
      <x:c r="B4" s="12" t="n">
        <x:v>1000</x:v>
      </x:c>
      <x:c r="C4" s="12" t="str">
        <x:v>Рекомендовано: выше EV, чтобы сервер был в плюсе</x:v>
      </x:c>
    </x:row>
    <x:row r="5">
      <x:c r="A5" s="12" t="str">
        <x:v>Цена 5 спинов, монеты</x:v>
      </x:c>
      <x:c r="B5" s="12" t="n">
        <x:v>4500</x:v>
      </x:c>
      <x:c r="C5" s="12" t="str">
        <x:v>Скидка 10%</x:v>
      </x:c>
    </x:row>
    <x:row r="6">
      <x:c r="A6" s="12" t="str">
        <x:v>Цена 10 спинов, монеты</x:v>
      </x:c>
      <x:c r="B6" s="12" t="n">
        <x:v>8500</x:v>
      </x:c>
      <x:c r="C6" s="12" t="str">
        <x:v>Скидка 15%</x:v>
      </x:c>
    </x:row>
    <x:row r="7">
      <x:c r="A7" s="12" t="str">
        <x:v>Цена 1 спина, кристаллы</x:v>
      </x:c>
      <x:c r="B7" s="12" t="n">
        <x:v>150</x:v>
      </x:c>
      <x:c r="C7" s="12" t="str">
        <x:v>Как на макете Aether Wheel</x:v>
      </x:c>
    </x:row>
    <x:row r="8">
      <x:c r="A8" s="12" t="str">
        <x:v>Цена 5 спинов, кристаллы</x:v>
      </x:c>
      <x:c r="B8" s="12" t="n">
        <x:v>675</x:v>
      </x:c>
      <x:c r="C8" s="12" t="str">
        <x:v>Скидка 10%</x:v>
      </x:c>
    </x:row>
    <x:row r="9">
      <x:c r="A9" s="12" t="str">
        <x:v>Цена 10 спинов, кристаллы</x:v>
      </x:c>
      <x:c r="B9" s="12" t="n">
        <x:v>1275</x:v>
      </x:c>
      <x:c r="C9" s="12" t="str">
        <x:v>Скидка 15%</x:v>
      </x:c>
    </x:row>
    <x:row r="10">
      <x:c r="A10" s="12" t="str">
        <x:v>Общий вес</x:v>
      </x:c>
      <x:c r="B10" s="14" t="n">
        <x:f>SUM('Reward Pool'!H2:H52)</x:f>
        <x:v>1000000</x:v>
      </x:c>
      <x:c r="C10" s="12" t="str">
        <x:v>Должно быть 1 000 000</x:v>
      </x:c>
    </x:row>
    <x:row r="11">
      <x:c r="A11" s="12" t="str">
        <x:v>Суммарный шанс</x:v>
      </x:c>
      <x:c r="B11" s="14" t="n">
        <x:f>SUM('Reward Pool'!I2:I52)</x:f>
        <x:v>100.00000000000001</x:v>
      </x:c>
      <x:c r="C11" s="12" t="str">
        <x:v>Должно быть 100%</x:v>
      </x:c>
    </x:row>
    <x:row r="12">
      <x:c r="A12" s="12" t="str">
        <x:v>EV на 1 спин, монеты</x:v>
      </x:c>
      <x:c r="B12" s="14" t="n">
        <x:f>SUM('Reward Pool'!L2:L52)</x:f>
        <x:v>904.8150000000002</x:v>
      </x:c>
      <x:c r="C12" s="12" t="str">
        <x:v>Ожидаемая ценность наград</x:v>
      </x:c>
    </x:row>
    <x:row r="13">
      <x:c r="A13" s="12" t="str">
        <x:v>Маржа при цене 1000 монет</x:v>
      </x:c>
      <x:c r="B13" s="14" t="n">
        <x:f>B4-B12</x:f>
        <x:v>95.18499999999983</x:v>
      </x:c>
      <x:c r="C13" s="12" t="str">
        <x:v>Цена спина минус EV</x:v>
      </x:c>
    </x:row>
    <x:row r="14">
      <x:c r="A14" s="12" t="str">
        <x:v>Jackpot total chance</x:v>
      </x:c>
      <x:c r="B14" s="12" t="str">
        <x:v>0.005%</x:v>
      </x:c>
      <x:c r="C14" s="12" t="str">
        <x:v>Примерно 1 джекпот на 20 000 спинов</x:v>
      </x:c>
    </x:row>
    <x:row r="15">
      <x:c r="A15" s="12" t="str">
        <x:v>Важно</x:v>
      </x:c>
      <x:c r="B15" s="12" t="str">
        <x:v>Все предметные награды проверены по файлу</x:v>
      </x:c>
      <x:c r="C15" s="12" t="str">
        <x:v>Сервисные награды: монеты/free spin; паки состоят из реальных предметов</x:v>
      </x:c>
    </x:row>
    <x:row r="16">
      <x:c r="A16" s="12" t="str">
        <x:v>Ограничение</x:v>
      </x:c>
      <x:c r="B16" s="12" t="str">
        <x:v>no cash-out / no real-money withdrawal</x:v>
      </x:c>
      <x:c r="C16" s="12" t="str">
        <x:v>Не давать выводить награды в реальные деньги</x:v>
      </x:c>
    </x:row>
    <x:row r="17">
      <x:c r="A17" s="12" t="str">
        <x:v>Прозрачность</x:v>
      </x:c>
      <x:c r="B17" s="12" t="str">
        <x:v>показывать шансы игроку</x:v>
      </x:c>
      <x:c r="C17" s="12" t="str">
        <x:v>Для честности и снижения регуляторных рисков</x:v>
      </x:c>
    </x:row>
    <x:row r="18">
      <x:c r="A18" s="12"/>
      <x:c r="B18" s="12"/>
      <x:c r="C18" s="12"/>
    </x:row>
    <x:row r="19">
      <x:c r="A19" s="12"/>
      <x:c r="B19" s="12"/>
      <x:c r="C19" s="12"/>
    </x:row>
    <x:row r="20">
      <x:c r="A20" s="12"/>
      <x:c r="B20" s="12"/>
      <x:c r="C2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26" hidden="0" customWidth="1"/>
    <x:col min="5" max="5" width="28" hidden="0" customWidth="1"/>
    <x:col min="6" max="6" width="32" hidden="0" customWidth="1"/>
    <x:col min="7" max="7" width="10" hidden="0" customWidth="1"/>
    <x:col min="8" max="8" width="18" hidden="0" customWidth="1"/>
    <x:col min="9" max="9" width="12" hidden="0" customWidth="1"/>
    <x:col min="10" max="10" width="16" hidden="0" customWidth="1"/>
    <x:col min="11" max="11" width="20" hidden="0" customWidth="1"/>
    <x:col min="12" max="12" width="16" hidden="0" customWidth="1"/>
    <x:col min="13" max="13" width="14" hidden="0" customWidth="1"/>
    <x:col min="14" max="14" width="54" hidden="0" customWidth="1"/>
  </x:cols>
  <x:sheetData>
    <x:row r="1">
      <x:c r="A1" s="10" t="str">
        <x:v>Reward ID</x:v>
      </x:c>
      <x:c r="B1" s="10" t="str">
        <x:v>Тип</x:v>
      </x:c>
      <x:c r="C1" s="10" t="str">
        <x:v>Редкость</x:v>
      </x:c>
      <x:c r="D1" s="10" t="str">
        <x:v>Награда</x:v>
      </x:c>
      <x:c r="E1" s="10" t="str">
        <x:v>Item / Pack Name</x:v>
      </x:c>
      <x:c r="F1" s="10" t="str">
        <x:v>Item ID / Pack ID</x:v>
      </x:c>
      <x:c r="G1" s="10" t="str">
        <x:v>Кол-во</x:v>
      </x:c>
      <x:c r="H1" s="10" t="str">
        <x:v>Вес из 1 000 000</x:v>
      </x:c>
      <x:c r="I1" s="10" t="str">
        <x:v>Шанс %</x:v>
      </x:c>
      <x:c r="J1" s="10" t="str">
        <x:v>Примерно 1 из N</x:v>
      </x:c>
      <x:c r="K1" s="10" t="str">
        <x:v>Оценочная ценность</x:v>
      </x:c>
      <x:c r="L1" s="10" t="str">
        <x:v>EV на 1 спин</x:v>
      </x:c>
      <x:c r="M1" s="10" t="str">
        <x:v>Проверка</x:v>
      </x:c>
      <x:c r="N1" s="10" t="str">
        <x:v>Комментарий</x:v>
      </x:c>
    </x:row>
    <x:row r="2">
      <x:c r="A2" s="20" t="str">
        <x:v>SERVER_COINS_100</x:v>
      </x:c>
      <x:c r="B2" s="20" t="str">
        <x:v>Сервисная награда</x:v>
      </x:c>
      <x:c r="C2" s="20" t="str">
        <x:v>Common</x:v>
      </x:c>
      <x:c r="D2" s="20" t="str">
        <x:v>100 монет</x:v>
      </x:c>
      <x:c r="E2" s="20" t="str"/>
      <x:c r="F2" s="20" t="str">
        <x:v>SERVER_COINS_100</x:v>
      </x:c>
      <x:c r="G2" s="20" t="n">
        <x:v>100</x:v>
      </x:c>
      <x:c r="H2" s="21" t="n">
        <x:v>180000</x:v>
      </x:c>
      <x:c r="I2" s="22" t="n">
        <x:f>H2/10000</x:f>
        <x:v>18</x:v>
      </x:c>
      <x:c r="J2" s="21" t="n">
        <x:f>IF(I2=0,"—",ROUND(100/I2,0))</x:f>
        <x:v>6</x:v>
      </x:c>
      <x:c r="K2" s="23" t="n">
        <x:v>100</x:v>
      </x:c>
      <x:c r="L2" s="23" t="n">
        <x:f>K2*H2/1000000</x:f>
        <x:v>18</x:v>
      </x:c>
      <x:c r="M2" s="20" t="str">
        <x:v>SERVICE_OK</x:v>
      </x:c>
      <x:c r="N2" s="20" t="str">
        <x:v>Сервисная награда сервера: не предмет Hytale</x:v>
      </x:c>
    </x:row>
    <x:row r="3">
      <x:c r="A3" s="20" t="str">
        <x:v>SERVER_COINS_150</x:v>
      </x:c>
      <x:c r="B3" s="20" t="str">
        <x:v>Сервисная награда</x:v>
      </x:c>
      <x:c r="C3" s="20" t="str">
        <x:v>Common</x:v>
      </x:c>
      <x:c r="D3" s="20" t="str">
        <x:v>150 монет</x:v>
      </x:c>
      <x:c r="E3" s="20" t="str"/>
      <x:c r="F3" s="20" t="str">
        <x:v>SERVER_COINS_150</x:v>
      </x:c>
      <x:c r="G3" s="20" t="n">
        <x:v>150</x:v>
      </x:c>
      <x:c r="H3" s="21" t="n">
        <x:v>140000</x:v>
      </x:c>
      <x:c r="I3" s="22" t="n">
        <x:f>H3/10000</x:f>
        <x:v>14</x:v>
      </x:c>
      <x:c r="J3" s="21" t="n">
        <x:f>IF(I3=0,"—",ROUND(100/I3,0))</x:f>
        <x:v>7</x:v>
      </x:c>
      <x:c r="K3" s="23" t="n">
        <x:v>150</x:v>
      </x:c>
      <x:c r="L3" s="23" t="n">
        <x:f>K3*H3/1000000</x:f>
        <x:v>21</x:v>
      </x:c>
      <x:c r="M3" s="20" t="str">
        <x:v>SERVICE_OK</x:v>
      </x:c>
      <x:c r="N3" s="20" t="str">
        <x:v>Сервисная награда сервера: не предмет Hytale</x:v>
      </x:c>
    </x:row>
    <x:row r="4">
      <x:c r="A4" s="20" t="str">
        <x:v>SERVER_COINS_250</x:v>
      </x:c>
      <x:c r="B4" s="20" t="str">
        <x:v>Сервисная награда</x:v>
      </x:c>
      <x:c r="C4" s="20" t="str">
        <x:v>Common</x:v>
      </x:c>
      <x:c r="D4" s="20" t="str">
        <x:v>250 монет</x:v>
      </x:c>
      <x:c r="E4" s="20" t="str"/>
      <x:c r="F4" s="20" t="str">
        <x:v>SERVER_COINS_250</x:v>
      </x:c>
      <x:c r="G4" s="20" t="n">
        <x:v>250</x:v>
      </x:c>
      <x:c r="H4" s="21" t="n">
        <x:v>80000</x:v>
      </x:c>
      <x:c r="I4" s="22" t="n">
        <x:f>H4/10000</x:f>
        <x:v>8</x:v>
      </x:c>
      <x:c r="J4" s="21" t="n">
        <x:f>IF(I4=0,"—",ROUND(100/I4,0))</x:f>
        <x:v>13</x:v>
      </x:c>
      <x:c r="K4" s="23" t="n">
        <x:v>250</x:v>
      </x:c>
      <x:c r="L4" s="23" t="n">
        <x:f>K4*H4/1000000</x:f>
        <x:v>20</x:v>
      </x:c>
      <x:c r="M4" s="20" t="str">
        <x:v>SERVICE_OK</x:v>
      </x:c>
      <x:c r="N4" s="20" t="str">
        <x:v>Сервисная награда сервера: не предмет Hytale</x:v>
      </x:c>
    </x:row>
    <x:row r="5">
      <x:c r="A5" s="20" t="str">
        <x:v>ITEM_Ingredient_Fibre</x:v>
      </x:c>
      <x:c r="B5" s="20" t="str">
        <x:v>Предмет</x:v>
      </x:c>
      <x:c r="C5" s="20" t="str">
        <x:v>Common</x:v>
      </x:c>
      <x:c r="D5" s="20" t="str">
        <x:v>Plant Fiber x12</x:v>
      </x:c>
      <x:c r="E5" s="20" t="str">
        <x:v>Plant Fiber</x:v>
      </x:c>
      <x:c r="F5" s="20" t="str">
        <x:v>Ingredient_Fibre</x:v>
      </x:c>
      <x:c r="G5" s="20" t="n">
        <x:v>12</x:v>
      </x:c>
      <x:c r="H5" s="21" t="n">
        <x:v>60000</x:v>
      </x:c>
      <x:c r="I5" s="22" t="n">
        <x:f>H5/10000</x:f>
        <x:v>6</x:v>
      </x:c>
      <x:c r="J5" s="21" t="n">
        <x:f>IF(I5=0,"—",ROUND(100/I5,0))</x:f>
        <x:v>17</x:v>
      </x:c>
      <x:c r="K5" s="23" t="n">
        <x:v>96</x:v>
      </x:c>
      <x:c r="L5" s="23" t="n">
        <x:f>K5*H5/1000000</x:f>
        <x:v>5.76</x:v>
      </x:c>
      <x:c r="M5" s="20" t="str">
        <x:v>ITEM_OK</x:v>
      </x:c>
      <x:c r="N5" s="20" t="str">
        <x:v>Предмет найден в hytale_items.xlsx</x:v>
      </x:c>
    </x:row>
    <x:row r="6">
      <x:c r="A6" s="20" t="str">
        <x:v>ITEM_Plant_Petals_Red</x:v>
      </x:c>
      <x:c r="B6" s="20" t="str">
        <x:v>Предмет</x:v>
      </x:c>
      <x:c r="C6" s="20" t="str">
        <x:v>Common</x:v>
      </x:c>
      <x:c r="D6" s="20" t="str">
        <x:v>Red Petals x8</x:v>
      </x:c>
      <x:c r="E6" s="20" t="str">
        <x:v>Red Petals</x:v>
      </x:c>
      <x:c r="F6" s="20" t="str">
        <x:v>Plant_Petals_Red</x:v>
      </x:c>
      <x:c r="G6" s="20" t="n">
        <x:v>8</x:v>
      </x:c>
      <x:c r="H6" s="21" t="n">
        <x:v>45000</x:v>
      </x:c>
      <x:c r="I6" s="22" t="n">
        <x:f>H6/10000</x:f>
        <x:v>4.5</x:v>
      </x:c>
      <x:c r="J6" s="21" t="n">
        <x:f>IF(I6=0,"—",ROUND(100/I6,0))</x:f>
        <x:v>22</x:v>
      </x:c>
      <x:c r="K6" s="23" t="n">
        <x:v>160</x:v>
      </x:c>
      <x:c r="L6" s="23" t="n">
        <x:f>K6*H6/1000000</x:f>
        <x:v>7.2</x:v>
      </x:c>
      <x:c r="M6" s="20" t="str">
        <x:v>ITEM_OK</x:v>
      </x:c>
      <x:c r="N6" s="20" t="str">
        <x:v>Предмет найден в hytale_items.xlsx</x:v>
      </x:c>
    </x:row>
    <x:row r="7">
      <x:c r="A7" s="20" t="str">
        <x:v>ITEM_Ingredient_Tree_Sap</x:v>
      </x:c>
      <x:c r="B7" s="20" t="str">
        <x:v>Предмет</x:v>
      </x:c>
      <x:c r="C7" s="20" t="str">
        <x:v>Common</x:v>
      </x:c>
      <x:c r="D7" s="20" t="str">
        <x:v>Tree Sap x6</x:v>
      </x:c>
      <x:c r="E7" s="20" t="str">
        <x:v>Tree Sap</x:v>
      </x:c>
      <x:c r="F7" s="20" t="str">
        <x:v>Ingredient_Tree_Sap</x:v>
      </x:c>
      <x:c r="G7" s="20" t="n">
        <x:v>6</x:v>
      </x:c>
      <x:c r="H7" s="21" t="n">
        <x:v>35000</x:v>
      </x:c>
      <x:c r="I7" s="22" t="n">
        <x:f>H7/10000</x:f>
        <x:v>3.5</x:v>
      </x:c>
      <x:c r="J7" s="21" t="n">
        <x:f>IF(I7=0,"—",ROUND(100/I7,0))</x:f>
        <x:v>29</x:v>
      </x:c>
      <x:c r="K7" s="23" t="n">
        <x:v>108</x:v>
      </x:c>
      <x:c r="L7" s="23" t="n">
        <x:f>K7*H7/1000000</x:f>
        <x:v>3.78</x:v>
      </x:c>
      <x:c r="M7" s="20" t="str">
        <x:v>ITEM_OK</x:v>
      </x:c>
      <x:c r="N7" s="20" t="str">
        <x:v>Предмет найден в hytale_items.xlsx</x:v>
      </x:c>
    </x:row>
    <x:row r="8">
      <x:c r="A8" s="20" t="str">
        <x:v>ITEM_Tool_Fertilizer</x:v>
      </x:c>
      <x:c r="B8" s="20" t="str">
        <x:v>Предмет</x:v>
      </x:c>
      <x:c r="C8" s="20" t="str">
        <x:v>Common</x:v>
      </x:c>
      <x:c r="D8" s="20" t="str">
        <x:v>Fertilizer Bag x2</x:v>
      </x:c>
      <x:c r="E8" s="20" t="str">
        <x:v>Fertilizer Bag</x:v>
      </x:c>
      <x:c r="F8" s="20" t="str">
        <x:v>Tool_Fertilizer</x:v>
      </x:c>
      <x:c r="G8" s="20" t="n">
        <x:v>2</x:v>
      </x:c>
      <x:c r="H8" s="21" t="n">
        <x:v>25000</x:v>
      </x:c>
      <x:c r="I8" s="22" t="n">
        <x:f>H8/10000</x:f>
        <x:v>2.5</x:v>
      </x:c>
      <x:c r="J8" s="21" t="n">
        <x:f>IF(I8=0,"—",ROUND(100/I8,0))</x:f>
        <x:v>40</x:v>
      </x:c>
      <x:c r="K8" s="23" t="n">
        <x:v>80</x:v>
      </x:c>
      <x:c r="L8" s="23" t="n">
        <x:f>K8*H8/1000000</x:f>
        <x:v>2</x:v>
      </x:c>
      <x:c r="M8" s="20" t="str">
        <x:v>ITEM_OK</x:v>
      </x:c>
      <x:c r="N8" s="20" t="str">
        <x:v>Предмет найден в hytale_items.xlsx</x:v>
      </x:c>
    </x:row>
    <x:row r="9">
      <x:c r="A9" s="20" t="str">
        <x:v>ITEM_Potion_Health</x:v>
      </x:c>
      <x:c r="B9" s="20" t="str">
        <x:v>Предмет</x:v>
      </x:c>
      <x:c r="C9" s="20" t="str">
        <x:v>Common</x:v>
      </x:c>
      <x:c r="D9" s="20" t="str">
        <x:v>Health Potion</x:v>
      </x:c>
      <x:c r="E9" s="20" t="str">
        <x:v>Health Potion</x:v>
      </x:c>
      <x:c r="F9" s="20" t="str">
        <x:v>Potion_Health</x:v>
      </x:c>
      <x:c r="G9" s="20" t="n">
        <x:v>1</x:v>
      </x:c>
      <x:c r="H9" s="21" t="n">
        <x:v>25000</x:v>
      </x:c>
      <x:c r="I9" s="22" t="n">
        <x:f>H9/10000</x:f>
        <x:v>2.5</x:v>
      </x:c>
      <x:c r="J9" s="21" t="n">
        <x:f>IF(I9=0,"—",ROUND(100/I9,0))</x:f>
        <x:v>40</x:v>
      </x:c>
      <x:c r="K9" s="23" t="n">
        <x:v>250</x:v>
      </x:c>
      <x:c r="L9" s="23" t="n">
        <x:f>K9*H9/1000000</x:f>
        <x:v>6.25</x:v>
      </x:c>
      <x:c r="M9" s="20" t="str">
        <x:v>ITEM_OK</x:v>
      </x:c>
      <x:c r="N9" s="20" t="str">
        <x:v>Предмет найден в hytale_items.xlsx</x:v>
      </x:c>
    </x:row>
    <x:row r="10">
      <x:c r="A10" s="20" t="str">
        <x:v>ITEM_Wood_Torch_Wall</x:v>
      </x:c>
      <x:c r="B10" s="20" t="str">
        <x:v>Предмет</x:v>
      </x:c>
      <x:c r="C10" s="20" t="str">
        <x:v>Common</x:v>
      </x:c>
      <x:c r="D10" s="20" t="str">
        <x:v>Wooden Torch x16</x:v>
      </x:c>
      <x:c r="E10" s="20" t="str">
        <x:v>Wooden Torch</x:v>
      </x:c>
      <x:c r="F10" s="20" t="str">
        <x:v>Wood_Torch_Wall</x:v>
      </x:c>
      <x:c r="G10" s="20" t="n">
        <x:v>16</x:v>
      </x:c>
      <x:c r="H10" s="21" t="n">
        <x:v>20000</x:v>
      </x:c>
      <x:c r="I10" s="22" t="n">
        <x:f>H10/10000</x:f>
        <x:v>2</x:v>
      </x:c>
      <x:c r="J10" s="21" t="n">
        <x:f>IF(I10=0,"—",ROUND(100/I10,0))</x:f>
        <x:v>50</x:v>
      </x:c>
      <x:c r="K10" s="23" t="n">
        <x:v>128</x:v>
      </x:c>
      <x:c r="L10" s="23" t="n">
        <x:f>K10*H10/1000000</x:f>
        <x:v>2.56</x:v>
      </x:c>
      <x:c r="M10" s="20" t="str">
        <x:v>ITEM_OK</x:v>
      </x:c>
      <x:c r="N10" s="20" t="str">
        <x:v>Предмет найден в hytale_items.xlsx</x:v>
      </x:c>
    </x:row>
    <x:row r="11">
      <x:c r="A11" s="20" t="str">
        <x:v>ITEM_Rock_Stone_Cobble</x:v>
      </x:c>
      <x:c r="B11" s="20" t="str">
        <x:v>Предмет</x:v>
      </x:c>
      <x:c r="C11" s="20" t="str">
        <x:v>Common</x:v>
      </x:c>
      <x:c r="D11" s="20" t="str">
        <x:v>Cobblestone x64</x:v>
      </x:c>
      <x:c r="E11" s="20" t="str">
        <x:v>Cobblestone</x:v>
      </x:c>
      <x:c r="F11" s="20" t="str">
        <x:v>Rock_Stone_Cobble</x:v>
      </x:c>
      <x:c r="G11" s="20" t="n">
        <x:v>64</x:v>
      </x:c>
      <x:c r="H11" s="21" t="n">
        <x:v>10000</x:v>
      </x:c>
      <x:c r="I11" s="22" t="n">
        <x:f>H11/10000</x:f>
        <x:v>1</x:v>
      </x:c>
      <x:c r="J11" s="21" t="n">
        <x:f>IF(I11=0,"—",ROUND(100/I11,0))</x:f>
        <x:v>100</x:v>
      </x:c>
      <x:c r="K11" s="23" t="n">
        <x:v>192</x:v>
      </x:c>
      <x:c r="L11" s="23" t="n">
        <x:f>K11*H11/1000000</x:f>
        <x:v>1.92</x:v>
      </x:c>
      <x:c r="M11" s="20" t="str">
        <x:v>ITEM_OK</x:v>
      </x:c>
      <x:c r="N11" s="20" t="str">
        <x:v>Предмет найден в hytale_items.xlsx</x:v>
      </x:c>
    </x:row>
    <x:row r="12">
      <x:c r="A12" s="28" t="str">
        <x:v>SERVER_COINS_500</x:v>
      </x:c>
      <x:c r="B12" s="28" t="str">
        <x:v>Сервисная награда</x:v>
      </x:c>
      <x:c r="C12" s="28" t="str">
        <x:v>Rare</x:v>
      </x:c>
      <x:c r="D12" s="28" t="str">
        <x:v>500 монет</x:v>
      </x:c>
      <x:c r="E12" s="28" t="str"/>
      <x:c r="F12" s="28" t="str">
        <x:v>SERVER_COINS_500</x:v>
      </x:c>
      <x:c r="G12" s="28" t="n">
        <x:v>500</x:v>
      </x:c>
      <x:c r="H12" s="29" t="n">
        <x:v>70000</x:v>
      </x:c>
      <x:c r="I12" s="30" t="n">
        <x:f>H12/10000</x:f>
        <x:v>7</x:v>
      </x:c>
      <x:c r="J12" s="29" t="n">
        <x:f>IF(I12=0,"—",ROUND(100/I12,0))</x:f>
        <x:v>14</x:v>
      </x:c>
      <x:c r="K12" s="31" t="n">
        <x:v>500</x:v>
      </x:c>
      <x:c r="L12" s="31" t="n">
        <x:f>K12*H12/1000000</x:f>
        <x:v>35</x:v>
      </x:c>
      <x:c r="M12" s="28" t="str">
        <x:v>SERVICE_OK</x:v>
      </x:c>
      <x:c r="N12" s="28" t="str">
        <x:v>Сервисная награда сервера: не предмет Hytale</x:v>
      </x:c>
    </x:row>
    <x:row r="13">
      <x:c r="A13" s="28" t="str">
        <x:v>SERVER_COINS_1000</x:v>
      </x:c>
      <x:c r="B13" s="28" t="str">
        <x:v>Сервисная награда</x:v>
      </x:c>
      <x:c r="C13" s="28" t="str">
        <x:v>Rare</x:v>
      </x:c>
      <x:c r="D13" s="28" t="str">
        <x:v>1000 монет</x:v>
      </x:c>
      <x:c r="E13" s="28" t="str"/>
      <x:c r="F13" s="28" t="str">
        <x:v>SERVER_COINS_1000</x:v>
      </x:c>
      <x:c r="G13" s="28" t="n">
        <x:v>1000</x:v>
      </x:c>
      <x:c r="H13" s="29" t="n">
        <x:v>40000</x:v>
      </x:c>
      <x:c r="I13" s="30" t="n">
        <x:f>H13/10000</x:f>
        <x:v>4</x:v>
      </x:c>
      <x:c r="J13" s="29" t="n">
        <x:f>IF(I13=0,"—",ROUND(100/I13,0))</x:f>
        <x:v>25</x:v>
      </x:c>
      <x:c r="K13" s="31" t="n">
        <x:v>1000</x:v>
      </x:c>
      <x:c r="L13" s="31" t="n">
        <x:f>K13*H13/1000000</x:f>
        <x:v>40</x:v>
      </x:c>
      <x:c r="M13" s="28" t="str">
        <x:v>SERVICE_OK</x:v>
      </x:c>
      <x:c r="N13" s="28" t="str">
        <x:v>Сервисная награда сервера: не предмет Hytale</x:v>
      </x:c>
    </x:row>
    <x:row r="14">
      <x:c r="A14" s="28" t="str">
        <x:v>PACK_BUILDER</x:v>
      </x:c>
      <x:c r="B14" s="28" t="str">
        <x:v>Пак</x:v>
      </x:c>
      <x:c r="C14" s="28" t="str">
        <x:v>Rare</x:v>
      </x:c>
      <x:c r="D14" s="28" t="str">
        <x:v>Builder Pack</x:v>
      </x:c>
      <x:c r="E14" s="28" t="str">
        <x:v>Builder Pack</x:v>
      </x:c>
      <x:c r="F14" s="28" t="str">
        <x:v>PACK_BUILDER</x:v>
      </x:c>
      <x:c r="G14" s="28" t="n">
        <x:v>1</x:v>
      </x:c>
      <x:c r="H14" s="29" t="n">
        <x:v>35000</x:v>
      </x:c>
      <x:c r="I14" s="30" t="n">
        <x:f>H14/10000</x:f>
        <x:v>3.5</x:v>
      </x:c>
      <x:c r="J14" s="29" t="n">
        <x:f>IF(I14=0,"—",ROUND(100/I14,0))</x:f>
        <x:v>29</x:v>
      </x:c>
      <x:c r="K14" s="31" t="n">
        <x:v>1200</x:v>
      </x:c>
      <x:c r="L14" s="31" t="n">
        <x:f>K14*H14/1000000</x:f>
        <x:v>42</x:v>
      </x:c>
      <x:c r="M14" s="28" t="str">
        <x:v>PACK_OK</x:v>
      </x:c>
      <x:c r="N14" s="28" t="str">
        <x:v>Пак собран только из предметов, найденных в hytale_items.xlsx</x:v>
      </x:c>
    </x:row>
    <x:row r="15">
      <x:c r="A15" s="28" t="str">
        <x:v>PACK_FARMER</x:v>
      </x:c>
      <x:c r="B15" s="28" t="str">
        <x:v>Пак</x:v>
      </x:c>
      <x:c r="C15" s="28" t="str">
        <x:v>Rare</x:v>
      </x:c>
      <x:c r="D15" s="28" t="str">
        <x:v>Farmer Pack</x:v>
      </x:c>
      <x:c r="E15" s="28" t="str">
        <x:v>Farmer Pack</x:v>
      </x:c>
      <x:c r="F15" s="28" t="str">
        <x:v>PACK_FARMER</x:v>
      </x:c>
      <x:c r="G15" s="28" t="n">
        <x:v>1</x:v>
      </x:c>
      <x:c r="H15" s="29" t="n">
        <x:v>30000</x:v>
      </x:c>
      <x:c r="I15" s="30" t="n">
        <x:f>H15/10000</x:f>
        <x:v>3</x:v>
      </x:c>
      <x:c r="J15" s="29" t="n">
        <x:f>IF(I15=0,"—",ROUND(100/I15,0))</x:f>
        <x:v>33</x:v>
      </x:c>
      <x:c r="K15" s="31" t="n">
        <x:v>1800</x:v>
      </x:c>
      <x:c r="L15" s="31" t="n">
        <x:f>K15*H15/1000000</x:f>
        <x:v>54</x:v>
      </x:c>
      <x:c r="M15" s="28" t="str">
        <x:v>PACK_OK</x:v>
      </x:c>
      <x:c r="N15" s="28" t="str">
        <x:v>Пак собран только из предметов, найденных в hytale_items.xlsx</x:v>
      </x:c>
    </x:row>
    <x:row r="16">
      <x:c r="A16" s="28" t="str">
        <x:v>PACK_LANDSCAPE</x:v>
      </x:c>
      <x:c r="B16" s="28" t="str">
        <x:v>Пак</x:v>
      </x:c>
      <x:c r="C16" s="28" t="str">
        <x:v>Rare</x:v>
      </x:c>
      <x:c r="D16" s="28" t="str">
        <x:v>Landscape Pack</x:v>
      </x:c>
      <x:c r="E16" s="28" t="str">
        <x:v>Landscape Pack</x:v>
      </x:c>
      <x:c r="F16" s="28" t="str">
        <x:v>PACK_LANDSCAPE</x:v>
      </x:c>
      <x:c r="G16" s="28" t="n">
        <x:v>1</x:v>
      </x:c>
      <x:c r="H16" s="29" t="n">
        <x:v>20000</x:v>
      </x:c>
      <x:c r="I16" s="30" t="n">
        <x:f>H16/10000</x:f>
        <x:v>2</x:v>
      </x:c>
      <x:c r="J16" s="29" t="n">
        <x:f>IF(I16=0,"—",ROUND(100/I16,0))</x:f>
        <x:v>50</x:v>
      </x:c>
      <x:c r="K16" s="31" t="n">
        <x:v>1500</x:v>
      </x:c>
      <x:c r="L16" s="31" t="n">
        <x:f>K16*H16/1000000</x:f>
        <x:v>30</x:v>
      </x:c>
      <x:c r="M16" s="28" t="str">
        <x:v>PACK_OK</x:v>
      </x:c>
      <x:c r="N16" s="28" t="str">
        <x:v>Пак собран только из предметов, найденных в hytale_items.xlsx</x:v>
      </x:c>
    </x:row>
    <x:row r="17">
      <x:c r="A17" s="28" t="str">
        <x:v>ITEM_Potion_Health</x:v>
      </x:c>
      <x:c r="B17" s="28" t="str">
        <x:v>Предмет</x:v>
      </x:c>
      <x:c r="C17" s="28" t="str">
        <x:v>Rare</x:v>
      </x:c>
      <x:c r="D17" s="28" t="str">
        <x:v>Health Potion x3</x:v>
      </x:c>
      <x:c r="E17" s="28" t="str">
        <x:v>Health Potion</x:v>
      </x:c>
      <x:c r="F17" s="28" t="str">
        <x:v>Potion_Health</x:v>
      </x:c>
      <x:c r="G17" s="28" t="n">
        <x:v>3</x:v>
      </x:c>
      <x:c r="H17" s="29" t="n">
        <x:v>20000</x:v>
      </x:c>
      <x:c r="I17" s="30" t="n">
        <x:f>H17/10000</x:f>
        <x:v>2</x:v>
      </x:c>
      <x:c r="J17" s="29" t="n">
        <x:f>IF(I17=0,"—",ROUND(100/I17,0))</x:f>
        <x:v>50</x:v>
      </x:c>
      <x:c r="K17" s="31" t="n">
        <x:v>750</x:v>
      </x:c>
      <x:c r="L17" s="31" t="n">
        <x:f>K17*H17/1000000</x:f>
        <x:v>15</x:v>
      </x:c>
      <x:c r="M17" s="28" t="str">
        <x:v>ITEM_OK</x:v>
      </x:c>
      <x:c r="N17" s="28" t="str">
        <x:v>Предмет найден в hytale_items.xlsx</x:v>
      </x:c>
    </x:row>
    <x:row r="18">
      <x:c r="A18" s="28" t="str">
        <x:v>ITEM_Potion_Signature</x:v>
      </x:c>
      <x:c r="B18" s="28" t="str">
        <x:v>Предмет</x:v>
      </x:c>
      <x:c r="C18" s="28" t="str">
        <x:v>Rare</x:v>
      </x:c>
      <x:c r="D18" s="28" t="str">
        <x:v>Energy Potion x2</x:v>
      </x:c>
      <x:c r="E18" s="28" t="str">
        <x:v>Energy Potion</x:v>
      </x:c>
      <x:c r="F18" s="28" t="str">
        <x:v>Potion_Signature</x:v>
      </x:c>
      <x:c r="G18" s="28" t="n">
        <x:v>2</x:v>
      </x:c>
      <x:c r="H18" s="29" t="n">
        <x:v>15000</x:v>
      </x:c>
      <x:c r="I18" s="30" t="n">
        <x:f>H18/10000</x:f>
        <x:v>1.5</x:v>
      </x:c>
      <x:c r="J18" s="29" t="n">
        <x:f>IF(I18=0,"—",ROUND(100/I18,0))</x:f>
        <x:v>67</x:v>
      </x:c>
      <x:c r="K18" s="31" t="n">
        <x:v>440</x:v>
      </x:c>
      <x:c r="L18" s="31" t="n">
        <x:f>K18*H18/1000000</x:f>
        <x:v>6.6</x:v>
      </x:c>
      <x:c r="M18" s="28" t="str">
        <x:v>ITEM_OK</x:v>
      </x:c>
      <x:c r="N18" s="28" t="str">
        <x:v>Предмет найден в hytale_items.xlsx</x:v>
      </x:c>
    </x:row>
    <x:row r="19">
      <x:c r="A19" s="28" t="str">
        <x:v>SERVER_FREE_SPIN_1</x:v>
      </x:c>
      <x:c r="B19" s="28" t="str">
        <x:v>Сервисная награда</x:v>
      </x:c>
      <x:c r="C19" s="28" t="str">
        <x:v>Rare</x:v>
      </x:c>
      <x:c r="D19" s="28" t="str">
        <x:v>Free Spin x1</x:v>
      </x:c>
      <x:c r="E19" s="28" t="str"/>
      <x:c r="F19" s="28" t="str">
        <x:v>SERVER_FREE_SPIN_1</x:v>
      </x:c>
      <x:c r="G19" s="28" t="n">
        <x:v>1</x:v>
      </x:c>
      <x:c r="H19" s="29" t="n">
        <x:v>15000</x:v>
      </x:c>
      <x:c r="I19" s="30" t="n">
        <x:f>H19/10000</x:f>
        <x:v>1.5</x:v>
      </x:c>
      <x:c r="J19" s="29" t="n">
        <x:f>IF(I19=0,"—",ROUND(100/I19,0))</x:f>
        <x:v>67</x:v>
      </x:c>
      <x:c r="K19" s="31" t="n">
        <x:v>1000</x:v>
      </x:c>
      <x:c r="L19" s="31" t="n">
        <x:f>K19*H19/1000000</x:f>
        <x:v>15</x:v>
      </x:c>
      <x:c r="M19" s="28" t="str">
        <x:v>SERVICE_OK</x:v>
      </x:c>
      <x:c r="N19" s="28" t="str">
        <x:v>Сервисная награда: бесплатный платный спин</x:v>
      </x:c>
    </x:row>
    <x:row r="20">
      <x:c r="A20" s="28" t="str">
        <x:v>ITEM_Weapon_Shortbow_Iron</x:v>
      </x:c>
      <x:c r="B20" s="28" t="str">
        <x:v>Предмет</x:v>
      </x:c>
      <x:c r="C20" s="28" t="str">
        <x:v>Rare</x:v>
      </x:c>
      <x:c r="D20" s="28" t="str">
        <x:v>Iron Shortbow</x:v>
      </x:c>
      <x:c r="E20" s="28" t="str">
        <x:v>Iron Shortbow</x:v>
      </x:c>
      <x:c r="F20" s="28" t="str">
        <x:v>Weapon_Shortbow_Iron</x:v>
      </x:c>
      <x:c r="G20" s="28" t="n">
        <x:v>1</x:v>
      </x:c>
      <x:c r="H20" s="29" t="n">
        <x:v>5000</x:v>
      </x:c>
      <x:c r="I20" s="30" t="n">
        <x:f>H20/10000</x:f>
        <x:v>0.5</x:v>
      </x:c>
      <x:c r="J20" s="29" t="n">
        <x:f>IF(I20=0,"—",ROUND(100/I20,0))</x:f>
        <x:v>200</x:v>
      </x:c>
      <x:c r="K20" s="31" t="n">
        <x:v>1800</x:v>
      </x:c>
      <x:c r="L20" s="31" t="n">
        <x:f>K20*H20/1000000</x:f>
        <x:v>9</x:v>
      </x:c>
      <x:c r="M20" s="28" t="str">
        <x:v>ITEM_OK</x:v>
      </x:c>
      <x:c r="N20" s="28" t="str">
        <x:v>Предмет найден в hytale_items.xlsx</x:v>
      </x:c>
    </x:row>
    <x:row r="21">
      <x:c r="A21" s="36" t="str">
        <x:v>SERVER_COINS_2500</x:v>
      </x:c>
      <x:c r="B21" s="36" t="str">
        <x:v>Сервисная награда</x:v>
      </x:c>
      <x:c r="C21" s="36" t="str">
        <x:v>Epic</x:v>
      </x:c>
      <x:c r="D21" s="36" t="str">
        <x:v>2500 монет</x:v>
      </x:c>
      <x:c r="E21" s="36" t="str"/>
      <x:c r="F21" s="36" t="str">
        <x:v>SERVER_COINS_2500</x:v>
      </x:c>
      <x:c r="G21" s="36" t="n">
        <x:v>2500</x:v>
      </x:c>
      <x:c r="H21" s="37" t="n">
        <x:v>25000</x:v>
      </x:c>
      <x:c r="I21" s="38" t="n">
        <x:f>H21/10000</x:f>
        <x:v>2.5</x:v>
      </x:c>
      <x:c r="J21" s="37" t="n">
        <x:f>IF(I21=0,"—",ROUND(100/I21,0))</x:f>
        <x:v>40</x:v>
      </x:c>
      <x:c r="K21" s="39" t="n">
        <x:v>2500</x:v>
      </x:c>
      <x:c r="L21" s="39" t="n">
        <x:f>K21*H21/1000000</x:f>
        <x:v>62.5</x:v>
      </x:c>
      <x:c r="M21" s="36" t="str">
        <x:v>SERVICE_OK</x:v>
      </x:c>
      <x:c r="N21" s="36" t="str">
        <x:v>Сервисная награда сервера: не предмет Hytale</x:v>
      </x:c>
    </x:row>
    <x:row r="22">
      <x:c r="A22" s="36" t="str">
        <x:v>SERVER_COINS_5000</x:v>
      </x:c>
      <x:c r="B22" s="36" t="str">
        <x:v>Сервисная награда</x:v>
      </x:c>
      <x:c r="C22" s="36" t="str">
        <x:v>Epic</x:v>
      </x:c>
      <x:c r="D22" s="36" t="str">
        <x:v>5000 монет</x:v>
      </x:c>
      <x:c r="E22" s="36" t="str"/>
      <x:c r="F22" s="36" t="str">
        <x:v>SERVER_COINS_5000</x:v>
      </x:c>
      <x:c r="G22" s="36" t="n">
        <x:v>5000</x:v>
      </x:c>
      <x:c r="H22" s="37" t="n">
        <x:v>10000</x:v>
      </x:c>
      <x:c r="I22" s="38" t="n">
        <x:f>H22/10000</x:f>
        <x:v>1</x:v>
      </x:c>
      <x:c r="J22" s="37" t="n">
        <x:f>IF(I22=0,"—",ROUND(100/I22,0))</x:f>
        <x:v>100</x:v>
      </x:c>
      <x:c r="K22" s="39" t="n">
        <x:v>5000</x:v>
      </x:c>
      <x:c r="L22" s="39" t="n">
        <x:f>K22*H22/1000000</x:f>
        <x:v>50</x:v>
      </x:c>
      <x:c r="M22" s="36" t="str">
        <x:v>SERVICE_OK</x:v>
      </x:c>
      <x:c r="N22" s="36" t="str">
        <x:v>Сервисная награда сервера: не предмет Hytale</x:v>
      </x:c>
    </x:row>
    <x:row r="23">
      <x:c r="A23" s="36" t="str">
        <x:v>PACK_ALCHEMIST</x:v>
      </x:c>
      <x:c r="B23" s="36" t="str">
        <x:v>Пак</x:v>
      </x:c>
      <x:c r="C23" s="36" t="str">
        <x:v>Epic</x:v>
      </x:c>
      <x:c r="D23" s="36" t="str">
        <x:v>Alchemist Pack</x:v>
      </x:c>
      <x:c r="E23" s="36" t="str">
        <x:v>Alchemist Pack</x:v>
      </x:c>
      <x:c r="F23" s="36" t="str">
        <x:v>PACK_ALCHEMIST</x:v>
      </x:c>
      <x:c r="G23" s="36" t="n">
        <x:v>1</x:v>
      </x:c>
      <x:c r="H23" s="37" t="n">
        <x:v>18000</x:v>
      </x:c>
      <x:c r="I23" s="38" t="n">
        <x:f>H23/10000</x:f>
        <x:v>1.8</x:v>
      </x:c>
      <x:c r="J23" s="37" t="n">
        <x:f>IF(I23=0,"—",ROUND(100/I23,0))</x:f>
        <x:v>56</x:v>
      </x:c>
      <x:c r="K23" s="39" t="n">
        <x:v>2500</x:v>
      </x:c>
      <x:c r="L23" s="39" t="n">
        <x:f>K23*H23/1000000</x:f>
        <x:v>45</x:v>
      </x:c>
      <x:c r="M23" s="36" t="str">
        <x:v>PACK_OK</x:v>
      </x:c>
      <x:c r="N23" s="36" t="str">
        <x:v>Пак собран только из предметов, найденных в hytale_items.xlsx</x:v>
      </x:c>
    </x:row>
    <x:row r="24">
      <x:c r="A24" s="36" t="str">
        <x:v>PACK_ADVENTURER</x:v>
      </x:c>
      <x:c r="B24" s="36" t="str">
        <x:v>Пак</x:v>
      </x:c>
      <x:c r="C24" s="36" t="str">
        <x:v>Epic</x:v>
      </x:c>
      <x:c r="D24" s="36" t="str">
        <x:v>Adventurer Pack</x:v>
      </x:c>
      <x:c r="E24" s="36" t="str">
        <x:v>Adventurer Pack</x:v>
      </x:c>
      <x:c r="F24" s="36" t="str">
        <x:v>PACK_ADVENTURER</x:v>
      </x:c>
      <x:c r="G24" s="36" t="n">
        <x:v>1</x:v>
      </x:c>
      <x:c r="H24" s="37" t="n">
        <x:v>15000</x:v>
      </x:c>
      <x:c r="I24" s="38" t="n">
        <x:f>H24/10000</x:f>
        <x:v>1.5</x:v>
      </x:c>
      <x:c r="J24" s="37" t="n">
        <x:f>IF(I24=0,"—",ROUND(100/I24,0))</x:f>
        <x:v>67</x:v>
      </x:c>
      <x:c r="K24" s="39" t="n">
        <x:v>3500</x:v>
      </x:c>
      <x:c r="L24" s="39" t="n">
        <x:f>K24*H24/1000000</x:f>
        <x:v>52.5</x:v>
      </x:c>
      <x:c r="M24" s="36" t="str">
        <x:v>PACK_OK</x:v>
      </x:c>
      <x:c r="N24" s="36" t="str">
        <x:v>Пак собран только из предметов, найденных в hytale_items.xlsx</x:v>
      </x:c>
    </x:row>
    <x:row r="25">
      <x:c r="A25" s="36" t="str">
        <x:v>ITEM_Potion_Health_Greater</x:v>
      </x:c>
      <x:c r="B25" s="36" t="str">
        <x:v>Предмет</x:v>
      </x:c>
      <x:c r="C25" s="36" t="str">
        <x:v>Epic</x:v>
      </x:c>
      <x:c r="D25" s="36" t="str">
        <x:v>Greater Health Potion x2</x:v>
      </x:c>
      <x:c r="E25" s="36" t="str">
        <x:v>Greater Health Potion</x:v>
      </x:c>
      <x:c r="F25" s="36" t="str">
        <x:v>Potion_Health_Greater</x:v>
      </x:c>
      <x:c r="G25" s="36" t="n">
        <x:v>2</x:v>
      </x:c>
      <x:c r="H25" s="37" t="n">
        <x:v>10000</x:v>
      </x:c>
      <x:c r="I25" s="38" t="n">
        <x:f>H25/10000</x:f>
        <x:v>1</x:v>
      </x:c>
      <x:c r="J25" s="37" t="n">
        <x:f>IF(I25=0,"—",ROUND(100/I25,0))</x:f>
        <x:v>100</x:v>
      </x:c>
      <x:c r="K25" s="39" t="n">
        <x:v>1200</x:v>
      </x:c>
      <x:c r="L25" s="39" t="n">
        <x:f>K25*H25/1000000</x:f>
        <x:v>12</x:v>
      </x:c>
      <x:c r="M25" s="36" t="str">
        <x:v>ITEM_OK</x:v>
      </x:c>
      <x:c r="N25" s="36" t="str">
        <x:v>Предмет найден в hytale_items.xlsx</x:v>
      </x:c>
    </x:row>
    <x:row r="26">
      <x:c r="A26" s="36" t="str">
        <x:v>ITEM_Weapon_Longsword_Iron</x:v>
      </x:c>
      <x:c r="B26" s="36" t="str">
        <x:v>Предмет</x:v>
      </x:c>
      <x:c r="C26" s="36" t="str">
        <x:v>Epic</x:v>
      </x:c>
      <x:c r="D26" s="36" t="str">
        <x:v>Iron Longsword</x:v>
      </x:c>
      <x:c r="E26" s="36" t="str">
        <x:v>Iron Longsword</x:v>
      </x:c>
      <x:c r="F26" s="36" t="str">
        <x:v>Weapon_Longsword_Iron</x:v>
      </x:c>
      <x:c r="G26" s="36" t="n">
        <x:v>1</x:v>
      </x:c>
      <x:c r="H26" s="37" t="n">
        <x:v>8000</x:v>
      </x:c>
      <x:c r="I26" s="38" t="n">
        <x:f>H26/10000</x:f>
        <x:v>0.8</x:v>
      </x:c>
      <x:c r="J26" s="37" t="n">
        <x:f>IF(I26=0,"—",ROUND(100/I26,0))</x:f>
        <x:v>125</x:v>
      </x:c>
      <x:c r="K26" s="39" t="n">
        <x:v>1500</x:v>
      </x:c>
      <x:c r="L26" s="39" t="n">
        <x:f>K26*H26/1000000</x:f>
        <x:v>12</x:v>
      </x:c>
      <x:c r="M26" s="36" t="str">
        <x:v>ITEM_OK</x:v>
      </x:c>
      <x:c r="N26" s="36" t="str">
        <x:v>Предмет найден в hytale_items.xlsx</x:v>
      </x:c>
    </x:row>
    <x:row r="27">
      <x:c r="A27" s="36" t="str">
        <x:v>ITEM_Weapon_Shield_Iron</x:v>
      </x:c>
      <x:c r="B27" s="36" t="str">
        <x:v>Предмет</x:v>
      </x:c>
      <x:c r="C27" s="36" t="str">
        <x:v>Epic</x:v>
      </x:c>
      <x:c r="D27" s="36" t="str">
        <x:v>Iron Shield</x:v>
      </x:c>
      <x:c r="E27" s="36" t="str">
        <x:v>Iron Shield</x:v>
      </x:c>
      <x:c r="F27" s="36" t="str">
        <x:v>Weapon_Shield_Iron</x:v>
      </x:c>
      <x:c r="G27" s="36" t="n">
        <x:v>1</x:v>
      </x:c>
      <x:c r="H27" s="37" t="n">
        <x:v>5000</x:v>
      </x:c>
      <x:c r="I27" s="38" t="n">
        <x:f>H27/10000</x:f>
        <x:v>0.5</x:v>
      </x:c>
      <x:c r="J27" s="37" t="n">
        <x:f>IF(I27=0,"—",ROUND(100/I27,0))</x:f>
        <x:v>200</x:v>
      </x:c>
      <x:c r="K27" s="39" t="n">
        <x:v>1500</x:v>
      </x:c>
      <x:c r="L27" s="39" t="n">
        <x:f>K27*H27/1000000</x:f>
        <x:v>7.5</x:v>
      </x:c>
      <x:c r="M27" s="36" t="str">
        <x:v>ITEM_OK</x:v>
      </x:c>
      <x:c r="N27" s="36" t="str">
        <x:v>Предмет найден в hytale_items.xlsx</x:v>
      </x:c>
    </x:row>
    <x:row r="28">
      <x:c r="A28" s="36" t="str">
        <x:v>SERVER_FREE_SPIN_3_RARE</x:v>
      </x:c>
      <x:c r="B28" s="36" t="str">
        <x:v>Сервисная награда</x:v>
      </x:c>
      <x:c r="C28" s="36" t="str">
        <x:v>Epic</x:v>
      </x:c>
      <x:c r="D28" s="36" t="str">
        <x:v>Rare Free Spin x3</x:v>
      </x:c>
      <x:c r="E28" s="36" t="str"/>
      <x:c r="F28" s="36" t="str">
        <x:v>SERVER_FREE_SPIN_3_RARE</x:v>
      </x:c>
      <x:c r="G28" s="36" t="n">
        <x:v>3</x:v>
      </x:c>
      <x:c r="H28" s="37" t="n">
        <x:v>9000</x:v>
      </x:c>
      <x:c r="I28" s="38" t="n">
        <x:f>H28/10000</x:f>
        <x:v>0.9</x:v>
      </x:c>
      <x:c r="J28" s="37" t="n">
        <x:f>IF(I28=0,"—",ROUND(100/I28,0))</x:f>
        <x:v>111</x:v>
      </x:c>
      <x:c r="K28" s="39" t="n">
        <x:v>3000</x:v>
      </x:c>
      <x:c r="L28" s="39" t="n">
        <x:f>K28*H28/1000000</x:f>
        <x:v>27</x:v>
      </x:c>
      <x:c r="M28" s="36" t="str">
        <x:v>SERVICE_OK</x:v>
      </x:c>
      <x:c r="N28" s="36" t="str">
        <x:v>Редкий Free Spin: 3 платных спина</x:v>
      </x:c>
    </x:row>
    <x:row r="29">
      <x:c r="A29" s="44" t="str">
        <x:v>SERVER_COINS_10000</x:v>
      </x:c>
      <x:c r="B29" s="44" t="str">
        <x:v>Сервисная награда</x:v>
      </x:c>
      <x:c r="C29" s="44" t="str">
        <x:v>Legendary</x:v>
      </x:c>
      <x:c r="D29" s="44" t="str">
        <x:v>10000 монет</x:v>
      </x:c>
      <x:c r="E29" s="44" t="str"/>
      <x:c r="F29" s="44" t="str">
        <x:v>SERVER_COINS_10000</x:v>
      </x:c>
      <x:c r="G29" s="44" t="n">
        <x:v>10000</x:v>
      </x:c>
      <x:c r="H29" s="45" t="n">
        <x:v>6000</x:v>
      </x:c>
      <x:c r="I29" s="46" t="n">
        <x:f>H29/10000</x:f>
        <x:v>0.6</x:v>
      </x:c>
      <x:c r="J29" s="45" t="n">
        <x:f>IF(I29=0,"—",ROUND(100/I29,0))</x:f>
        <x:v>167</x:v>
      </x:c>
      <x:c r="K29" s="47" t="n">
        <x:v>10000</x:v>
      </x:c>
      <x:c r="L29" s="47" t="n">
        <x:f>K29*H29/1000000</x:f>
        <x:v>60</x:v>
      </x:c>
      <x:c r="M29" s="44" t="str">
        <x:v>SERVICE_OK</x:v>
      </x:c>
      <x:c r="N29" s="44" t="str">
        <x:v>Сервисная награда сервера: не предмет Hytale</x:v>
      </x:c>
    </x:row>
    <x:row r="30">
      <x:c r="A30" s="44" t="str">
        <x:v>ITEM_Weapon_Sword_Cobalt</x:v>
      </x:c>
      <x:c r="B30" s="44" t="str">
        <x:v>Предмет</x:v>
      </x:c>
      <x:c r="C30" s="44" t="str">
        <x:v>Legendary</x:v>
      </x:c>
      <x:c r="D30" s="44" t="str">
        <x:v>Cobalt Sword</x:v>
      </x:c>
      <x:c r="E30" s="44" t="str">
        <x:v>Cobalt Sword</x:v>
      </x:c>
      <x:c r="F30" s="44" t="str">
        <x:v>Weapon_Sword_Cobalt</x:v>
      </x:c>
      <x:c r="G30" s="44" t="n">
        <x:v>1</x:v>
      </x:c>
      <x:c r="H30" s="45" t="n">
        <x:v>4500</x:v>
      </x:c>
      <x:c r="I30" s="46" t="n">
        <x:f>H30/10000</x:f>
        <x:v>0.45</x:v>
      </x:c>
      <x:c r="J30" s="45" t="n">
        <x:f>IF(I30=0,"—",ROUND(100/I30,0))</x:f>
        <x:v>222</x:v>
      </x:c>
      <x:c r="K30" s="47" t="n">
        <x:v>4500</x:v>
      </x:c>
      <x:c r="L30" s="47" t="n">
        <x:f>K30*H30/1000000</x:f>
        <x:v>20.25</x:v>
      </x:c>
      <x:c r="M30" s="44" t="str">
        <x:v>ITEM_OK</x:v>
      </x:c>
      <x:c r="N30" s="44" t="str">
        <x:v>Предмет найден в hytale_items.xlsx</x:v>
      </x:c>
    </x:row>
    <x:row r="31">
      <x:c r="A31" s="44" t="str">
        <x:v>ITEM_Armor_Cobalt_Chest</x:v>
      </x:c>
      <x:c r="B31" s="44" t="str">
        <x:v>Предмет</x:v>
      </x:c>
      <x:c r="C31" s="44" t="str">
        <x:v>Legendary</x:v>
      </x:c>
      <x:c r="D31" s="44" t="str">
        <x:v>Cobalt Cuirass</x:v>
      </x:c>
      <x:c r="E31" s="44" t="str">
        <x:v>Cobalt Cuirass</x:v>
      </x:c>
      <x:c r="F31" s="44" t="str">
        <x:v>Armor_Cobalt_Chest</x:v>
      </x:c>
      <x:c r="G31" s="44" t="n">
        <x:v>1</x:v>
      </x:c>
      <x:c r="H31" s="45" t="n">
        <x:v>3000</x:v>
      </x:c>
      <x:c r="I31" s="46" t="n">
        <x:f>H31/10000</x:f>
        <x:v>0.3</x:v>
      </x:c>
      <x:c r="J31" s="45" t="n">
        <x:f>IF(I31=0,"—",ROUND(100/I31,0))</x:f>
        <x:v>333</x:v>
      </x:c>
      <x:c r="K31" s="47" t="n">
        <x:v>6300</x:v>
      </x:c>
      <x:c r="L31" s="47" t="n">
        <x:f>K31*H31/1000000</x:f>
        <x:v>18.9</x:v>
      </x:c>
      <x:c r="M31" s="44" t="str">
        <x:v>ITEM_OK</x:v>
      </x:c>
      <x:c r="N31" s="44" t="str">
        <x:v>Предмет найден в hytale_items.xlsx</x:v>
      </x:c>
    </x:row>
    <x:row r="32">
      <x:c r="A32" s="44" t="str">
        <x:v>ITEM_Weapon_Sword_Thorium</x:v>
      </x:c>
      <x:c r="B32" s="44" t="str">
        <x:v>Предмет</x:v>
      </x:c>
      <x:c r="C32" s="44" t="str">
        <x:v>Legendary</x:v>
      </x:c>
      <x:c r="D32" s="44" t="str">
        <x:v>Thorium Sword</x:v>
      </x:c>
      <x:c r="E32" s="44" t="str">
        <x:v>Thorium Sword</x:v>
      </x:c>
      <x:c r="F32" s="44" t="str">
        <x:v>Weapon_Sword_Thorium</x:v>
      </x:c>
      <x:c r="G32" s="44" t="n">
        <x:v>1</x:v>
      </x:c>
      <x:c r="H32" s="45" t="n">
        <x:v>3000</x:v>
      </x:c>
      <x:c r="I32" s="46" t="n">
        <x:f>H32/10000</x:f>
        <x:v>0.3</x:v>
      </x:c>
      <x:c r="J32" s="45" t="n">
        <x:f>IF(I32=0,"—",ROUND(100/I32,0))</x:f>
        <x:v>333</x:v>
      </x:c>
      <x:c r="K32" s="47" t="n">
        <x:v>5200</x:v>
      </x:c>
      <x:c r="L32" s="47" t="n">
        <x:f>K32*H32/1000000</x:f>
        <x:v>15.6</x:v>
      </x:c>
      <x:c r="M32" s="44" t="str">
        <x:v>ITEM_OK</x:v>
      </x:c>
      <x:c r="N32" s="44" t="str">
        <x:v>Предмет найден в hytale_items.xlsx</x:v>
      </x:c>
    </x:row>
    <x:row r="33">
      <x:c r="A33" s="44" t="str">
        <x:v>ITEM_Weapon_Staff_Thorium</x:v>
      </x:c>
      <x:c r="B33" s="44" t="str">
        <x:v>Предмет</x:v>
      </x:c>
      <x:c r="C33" s="44" t="str">
        <x:v>Legendary</x:v>
      </x:c>
      <x:c r="D33" s="44" t="str">
        <x:v>Thorium Staff</x:v>
      </x:c>
      <x:c r="E33" s="44" t="str">
        <x:v>Thorium Staff</x:v>
      </x:c>
      <x:c r="F33" s="44" t="str">
        <x:v>Weapon_Staff_Thorium</x:v>
      </x:c>
      <x:c r="G33" s="44" t="n">
        <x:v>1</x:v>
      </x:c>
      <x:c r="H33" s="45" t="n">
        <x:v>2500</x:v>
      </x:c>
      <x:c r="I33" s="46" t="n">
        <x:f>H33/10000</x:f>
        <x:v>0.25</x:v>
      </x:c>
      <x:c r="J33" s="45" t="n">
        <x:f>IF(I33=0,"—",ROUND(100/I33,0))</x:f>
        <x:v>400</x:v>
      </x:c>
      <x:c r="K33" s="47" t="n">
        <x:v>9000</x:v>
      </x:c>
      <x:c r="L33" s="47" t="n">
        <x:f>K33*H33/1000000</x:f>
        <x:v>22.5</x:v>
      </x:c>
      <x:c r="M33" s="44" t="str">
        <x:v>ITEM_OK</x:v>
      </x:c>
      <x:c r="N33" s="44" t="str">
        <x:v>Предмет найден в hytale_items.xlsx</x:v>
      </x:c>
    </x:row>
    <x:row r="34">
      <x:c r="A34" s="44" t="str">
        <x:v>ITEM_Egg_Spawner_Lantern</x:v>
      </x:c>
      <x:c r="B34" s="44" t="str">
        <x:v>Предмет</x:v>
      </x:c>
      <x:c r="C34" s="44" t="str">
        <x:v>Legendary</x:v>
      </x:c>
      <x:c r="D34" s="44" t="str">
        <x:v>Egg Spawner - Pet Lantern</x:v>
      </x:c>
      <x:c r="E34" s="44" t="str">
        <x:v>Egg Spawner - Pet Lantern</x:v>
      </x:c>
      <x:c r="F34" s="44" t="str">
        <x:v>Egg_Spawner_Lantern</x:v>
      </x:c>
      <x:c r="G34" s="44" t="n">
        <x:v>1</x:v>
      </x:c>
      <x:c r="H34" s="45" t="n">
        <x:v>2000</x:v>
      </x:c>
      <x:c r="I34" s="46" t="n">
        <x:f>H34/10000</x:f>
        <x:v>0.2</x:v>
      </x:c>
      <x:c r="J34" s="45" t="n">
        <x:f>IF(I34=0,"—",ROUND(100/I34,0))</x:f>
        <x:v>500</x:v>
      </x:c>
      <x:c r="K34" s="47" t="n">
        <x:v>15000</x:v>
      </x:c>
      <x:c r="L34" s="47" t="n">
        <x:f>K34*H34/1000000</x:f>
        <x:v>30</x:v>
      </x:c>
      <x:c r="M34" s="44" t="str">
        <x:v>ITEM_OK</x:v>
      </x:c>
      <x:c r="N34" s="44" t="str">
        <x:v>Предмет найден в hytale_items.xlsx</x:v>
      </x:c>
    </x:row>
    <x:row r="35">
      <x:c r="A35" s="44" t="str">
        <x:v>ITEM_Farming_Collar</x:v>
      </x:c>
      <x:c r="B35" s="44" t="str">
        <x:v>Предмет</x:v>
      </x:c>
      <x:c r="C35" s="44" t="str">
        <x:v>Legendary</x:v>
      </x:c>
      <x:c r="D35" s="44" t="str">
        <x:v>Pet Collar</x:v>
      </x:c>
      <x:c r="E35" s="44" t="str">
        <x:v>Pet Collar</x:v>
      </x:c>
      <x:c r="F35" s="44" t="str">
        <x:v>Farming_Collar</x:v>
      </x:c>
      <x:c r="G35" s="44" t="n">
        <x:v>1</x:v>
      </x:c>
      <x:c r="H35" s="45" t="n">
        <x:v>2000</x:v>
      </x:c>
      <x:c r="I35" s="46" t="n">
        <x:f>H35/10000</x:f>
        <x:v>0.2</x:v>
      </x:c>
      <x:c r="J35" s="45" t="n">
        <x:f>IF(I35=0,"—",ROUND(100/I35,0))</x:f>
        <x:v>500</x:v>
      </x:c>
      <x:c r="K35" s="47" t="n">
        <x:v>10000</x:v>
      </x:c>
      <x:c r="L35" s="47" t="n">
        <x:f>K35*H35/1000000</x:f>
        <x:v>20</x:v>
      </x:c>
      <x:c r="M35" s="44" t="str">
        <x:v>ITEM_OK</x:v>
      </x:c>
      <x:c r="N35" s="44" t="str">
        <x:v>Предмет найден в hytale_items.xlsx</x:v>
      </x:c>
    </x:row>
    <x:row r="36">
      <x:c r="A36" s="44" t="str">
        <x:v>SERVER_FREE_SPIN_10</x:v>
      </x:c>
      <x:c r="B36" s="44" t="str">
        <x:v>Сервисная награда</x:v>
      </x:c>
      <x:c r="C36" s="44" t="str">
        <x:v>Legendary</x:v>
      </x:c>
      <x:c r="D36" s="44" t="str">
        <x:v>Free Spin x10</x:v>
      </x:c>
      <x:c r="E36" s="44" t="str"/>
      <x:c r="F36" s="44" t="str">
        <x:v>SERVER_FREE_SPIN_10</x:v>
      </x:c>
      <x:c r="G36" s="44" t="n">
        <x:v>10</x:v>
      </x:c>
      <x:c r="H36" s="45" t="n">
        <x:v>2000</x:v>
      </x:c>
      <x:c r="I36" s="46" t="n">
        <x:f>H36/10000</x:f>
        <x:v>0.2</x:v>
      </x:c>
      <x:c r="J36" s="45" t="n">
        <x:f>IF(I36=0,"—",ROUND(100/I36,0))</x:f>
        <x:v>500</x:v>
      </x:c>
      <x:c r="K36" s="47" t="n">
        <x:v>10000</x:v>
      </x:c>
      <x:c r="L36" s="47" t="n">
        <x:f>K36*H36/1000000</x:f>
        <x:v>20</x:v>
      </x:c>
      <x:c r="M36" s="44" t="str">
        <x:v>SERVICE_OK</x:v>
      </x:c>
      <x:c r="N36" s="44" t="str">
        <x:v>Сервисная награда: 10 платных спинов</x:v>
      </x:c>
    </x:row>
    <x:row r="37">
      <x:c r="A37" s="52" t="str">
        <x:v>ITEM_Weapon_Longsword_Mithril</x:v>
      </x:c>
      <x:c r="B37" s="52" t="str">
        <x:v>Предмет</x:v>
      </x:c>
      <x:c r="C37" s="52" t="str">
        <x:v>Mythic</x:v>
      </x:c>
      <x:c r="D37" s="52" t="str">
        <x:v>Mithril Longsword</x:v>
      </x:c>
      <x:c r="E37" s="52" t="str">
        <x:v>Mithril Longsword</x:v>
      </x:c>
      <x:c r="F37" s="52" t="str">
        <x:v>Weapon_Longsword_Mithril</x:v>
      </x:c>
      <x:c r="G37" s="52" t="n">
        <x:v>1</x:v>
      </x:c>
      <x:c r="H37" s="53" t="n">
        <x:v>1200</x:v>
      </x:c>
      <x:c r="I37" s="54" t="n">
        <x:f>H37/10000</x:f>
        <x:v>0.12</x:v>
      </x:c>
      <x:c r="J37" s="53" t="n">
        <x:f>IF(I37=0,"—",ROUND(100/I37,0))</x:f>
        <x:v>833</x:v>
      </x:c>
      <x:c r="K37" s="55" t="n">
        <x:v>8500</x:v>
      </x:c>
      <x:c r="L37" s="55" t="n">
        <x:f>K37*H37/1000000</x:f>
        <x:v>10.2</x:v>
      </x:c>
      <x:c r="M37" s="52" t="str">
        <x:v>ITEM_OK</x:v>
      </x:c>
      <x:c r="N37" s="52" t="str">
        <x:v>Предмет найден в hytale_items.xlsx</x:v>
      </x:c>
    </x:row>
    <x:row r="38">
      <x:c r="A38" s="52" t="str">
        <x:v>ITEM_Armor_Mithril_Chest</x:v>
      </x:c>
      <x:c r="B38" s="52" t="str">
        <x:v>Предмет</x:v>
      </x:c>
      <x:c r="C38" s="52" t="str">
        <x:v>Mythic</x:v>
      </x:c>
      <x:c r="D38" s="52" t="str">
        <x:v>Mithril Cuirass</x:v>
      </x:c>
      <x:c r="E38" s="52" t="str">
        <x:v>Mithril Cuirass</x:v>
      </x:c>
      <x:c r="F38" s="52" t="str">
        <x:v>Armor_Mithril_Chest</x:v>
      </x:c>
      <x:c r="G38" s="52" t="n">
        <x:v>1</x:v>
      </x:c>
      <x:c r="H38" s="53" t="n">
        <x:v>800</x:v>
      </x:c>
      <x:c r="I38" s="54" t="n">
        <x:f>H38/10000</x:f>
        <x:v>0.08</x:v>
      </x:c>
      <x:c r="J38" s="53" t="n">
        <x:f>IF(I38=0,"—",ROUND(100/I38,0))</x:f>
        <x:v>1250</x:v>
      </x:c>
      <x:c r="K38" s="55" t="n">
        <x:v>12250</x:v>
      </x:c>
      <x:c r="L38" s="55" t="n">
        <x:f>K38*H38/1000000</x:f>
        <x:v>9.8</x:v>
      </x:c>
      <x:c r="M38" s="52" t="str">
        <x:v>ITEM_OK</x:v>
      </x:c>
      <x:c r="N38" s="52" t="str">
        <x:v>Предмет найден в hytale_items.xlsx</x:v>
      </x:c>
    </x:row>
    <x:row r="39">
      <x:c r="A39" s="52" t="str">
        <x:v>ITEM_Weapon_Staff_Onyxium</x:v>
      </x:c>
      <x:c r="B39" s="52" t="str">
        <x:v>Предмет</x:v>
      </x:c>
      <x:c r="C39" s="52" t="str">
        <x:v>Mythic</x:v>
      </x:c>
      <x:c r="D39" s="52" t="str">
        <x:v>Onyxium Staff</x:v>
      </x:c>
      <x:c r="E39" s="52" t="str">
        <x:v>Onyxium Staff</x:v>
      </x:c>
      <x:c r="F39" s="52" t="str">
        <x:v>Weapon_Staff_Onyxium</x:v>
      </x:c>
      <x:c r="G39" s="52" t="n">
        <x:v>1</x:v>
      </x:c>
      <x:c r="H39" s="53" t="n">
        <x:v>750</x:v>
      </x:c>
      <x:c r="I39" s="54" t="n">
        <x:f>H39/10000</x:f>
        <x:v>0.075</x:v>
      </x:c>
      <x:c r="J39" s="53" t="n">
        <x:f>IF(I39=0,"—",ROUND(100/I39,0))</x:f>
        <x:v>1333</x:v>
      </x:c>
      <x:c r="K39" s="55" t="n">
        <x:v>18000</x:v>
      </x:c>
      <x:c r="L39" s="55" t="n">
        <x:f>K39*H39/1000000</x:f>
        <x:v>13.5</x:v>
      </x:c>
      <x:c r="M39" s="52" t="str">
        <x:v>ITEM_OK</x:v>
      </x:c>
      <x:c r="N39" s="52" t="str">
        <x:v>Предмет найден в hytale_items.xlsx</x:v>
      </x:c>
    </x:row>
    <x:row r="40">
      <x:c r="A40" s="52" t="str">
        <x:v>ITEM_Recipe_Book_Magic_Void</x:v>
      </x:c>
      <x:c r="B40" s="52" t="str">
        <x:v>Предмет</x:v>
      </x:c>
      <x:c r="C40" s="52" t="str">
        <x:v>Mythic</x:v>
      </x:c>
      <x:c r="D40" s="52" t="str">
        <x:v>Void Grimoire</x:v>
      </x:c>
      <x:c r="E40" s="52" t="str">
        <x:v>Void Grimoire</x:v>
      </x:c>
      <x:c r="F40" s="52" t="str">
        <x:v>Recipe_Book_Magic_Void</x:v>
      </x:c>
      <x:c r="G40" s="52" t="n">
        <x:v>1</x:v>
      </x:c>
      <x:c r="H40" s="53" t="n">
        <x:v>600</x:v>
      </x:c>
      <x:c r="I40" s="54" t="n">
        <x:f>H40/10000</x:f>
        <x:v>0.06</x:v>
      </x:c>
      <x:c r="J40" s="53" t="n">
        <x:f>IF(I40=0,"—",ROUND(100/I40,0))</x:f>
        <x:v>1667</x:v>
      </x:c>
      <x:c r="K40" s="55" t="n">
        <x:v>22000</x:v>
      </x:c>
      <x:c r="L40" s="55" t="n">
        <x:f>K40*H40/1000000</x:f>
        <x:v>13.2</x:v>
      </x:c>
      <x:c r="M40" s="52" t="str">
        <x:v>ITEM_OK</x:v>
      </x:c>
      <x:c r="N40" s="52" t="str">
        <x:v>Предмет найден в hytale_items.xlsx</x:v>
      </x:c>
    </x:row>
    <x:row r="41">
      <x:c r="A41" s="52" t="str">
        <x:v>ITEM_Ingredient_Bar_Adamantite</x:v>
      </x:c>
      <x:c r="B41" s="52" t="str">
        <x:v>Предмет</x:v>
      </x:c>
      <x:c r="C41" s="52" t="str">
        <x:v>Mythic</x:v>
      </x:c>
      <x:c r="D41" s="52" t="str">
        <x:v>Adamantite Ingot x3</x:v>
      </x:c>
      <x:c r="E41" s="52" t="str">
        <x:v>Adamantite Ingot</x:v>
      </x:c>
      <x:c r="F41" s="52" t="str">
        <x:v>Ingredient_Bar_Adamantite</x:v>
      </x:c>
      <x:c r="G41" s="52" t="n">
        <x:v>3</x:v>
      </x:c>
      <x:c r="H41" s="53" t="n">
        <x:v>600</x:v>
      </x:c>
      <x:c r="I41" s="54" t="n">
        <x:f>H41/10000</x:f>
        <x:v>0.06</x:v>
      </x:c>
      <x:c r="J41" s="53" t="n">
        <x:f>IF(I41=0,"—",ROUND(100/I41,0))</x:f>
        <x:v>1667</x:v>
      </x:c>
      <x:c r="K41" s="55" t="n">
        <x:v>9000</x:v>
      </x:c>
      <x:c r="L41" s="55" t="n">
        <x:f>K41*H41/1000000</x:f>
        <x:v>5.4</x:v>
      </x:c>
      <x:c r="M41" s="52" t="str">
        <x:v>ITEM_OK</x:v>
      </x:c>
      <x:c r="N41" s="52" t="str">
        <x:v>Предмет найден в hytale_items.xlsx</x:v>
      </x:c>
    </x:row>
    <x:row r="42">
      <x:c r="A42" s="52" t="str">
        <x:v>SERVER_COINS_50000</x:v>
      </x:c>
      <x:c r="B42" s="52" t="str">
        <x:v>Сервисная награда</x:v>
      </x:c>
      <x:c r="C42" s="52" t="str">
        <x:v>Mythic</x:v>
      </x:c>
      <x:c r="D42" s="52" t="str">
        <x:v>50000 монет</x:v>
      </x:c>
      <x:c r="E42" s="52" t="str"/>
      <x:c r="F42" s="52" t="str">
        <x:v>SERVER_COINS_50000</x:v>
      </x:c>
      <x:c r="G42" s="52" t="n">
        <x:v>50000</x:v>
      </x:c>
      <x:c r="H42" s="53" t="n">
        <x:v>500</x:v>
      </x:c>
      <x:c r="I42" s="54" t="n">
        <x:f>H42/10000</x:f>
        <x:v>0.05</x:v>
      </x:c>
      <x:c r="J42" s="53" t="n">
        <x:f>IF(I42=0,"—",ROUND(100/I42,0))</x:f>
        <x:v>2000</x:v>
      </x:c>
      <x:c r="K42" s="55" t="n">
        <x:v>50000</x:v>
      </x:c>
      <x:c r="L42" s="55" t="n">
        <x:f>K42*H42/1000000</x:f>
        <x:v>25</x:v>
      </x:c>
      <x:c r="M42" s="52" t="str">
        <x:v>SERVICE_OK</x:v>
      </x:c>
      <x:c r="N42" s="52" t="str">
        <x:v>Сервисная награда сервера: не предмет Hytale</x:v>
      </x:c>
    </x:row>
    <x:row r="43">
      <x:c r="A43" s="52" t="str">
        <x:v>SERVER_FREE_SPIN_25</x:v>
      </x:c>
      <x:c r="B43" s="52" t="str">
        <x:v>Сервисная награда</x:v>
      </x:c>
      <x:c r="C43" s="52" t="str">
        <x:v>Mythic</x:v>
      </x:c>
      <x:c r="D43" s="52" t="str">
        <x:v>Free Spin x25</x:v>
      </x:c>
      <x:c r="E43" s="52" t="str"/>
      <x:c r="F43" s="52" t="str">
        <x:v>SERVER_FREE_SPIN_25</x:v>
      </x:c>
      <x:c r="G43" s="52" t="n">
        <x:v>25</x:v>
      </x:c>
      <x:c r="H43" s="53" t="n">
        <x:v>300</x:v>
      </x:c>
      <x:c r="I43" s="54" t="n">
        <x:f>H43/10000</x:f>
        <x:v>0.03</x:v>
      </x:c>
      <x:c r="J43" s="53" t="n">
        <x:f>IF(I43=0,"—",ROUND(100/I43,0))</x:f>
        <x:v>3333</x:v>
      </x:c>
      <x:c r="K43" s="55" t="n">
        <x:v>25000</x:v>
      </x:c>
      <x:c r="L43" s="55" t="n">
        <x:f>K43*H43/1000000</x:f>
        <x:v>7.5</x:v>
      </x:c>
      <x:c r="M43" s="52" t="str">
        <x:v>SERVICE_OK</x:v>
      </x:c>
      <x:c r="N43" s="52" t="str">
        <x:v>Сервисная награда: 25 платных спинов</x:v>
      </x:c>
    </x:row>
    <x:row r="44">
      <x:c r="A44" s="52" t="str">
        <x:v>ITEM_Weapon_Longsword_Void</x:v>
      </x:c>
      <x:c r="B44" s="52" t="str">
        <x:v>Предмет</x:v>
      </x:c>
      <x:c r="C44" s="52" t="str">
        <x:v>Mythic</x:v>
      </x:c>
      <x:c r="D44" s="52" t="str">
        <x:v>Void Longsword</x:v>
      </x:c>
      <x:c r="E44" s="52" t="str">
        <x:v>Void Longsword</x:v>
      </x:c>
      <x:c r="F44" s="52" t="str">
        <x:v>Weapon_Longsword_Void</x:v>
      </x:c>
      <x:c r="G44" s="52" t="n">
        <x:v>1</x:v>
      </x:c>
      <x:c r="H44" s="53" t="n">
        <x:v>200</x:v>
      </x:c>
      <x:c r="I44" s="54" t="n">
        <x:f>H44/10000</x:f>
        <x:v>0.02</x:v>
      </x:c>
      <x:c r="J44" s="53" t="n">
        <x:f>IF(I44=0,"—",ROUND(100/I44,0))</x:f>
        <x:v>5000</x:v>
      </x:c>
      <x:c r="K44" s="55" t="n">
        <x:v>35000</x:v>
      </x:c>
      <x:c r="L44" s="55" t="n">
        <x:f>K44*H44/1000000</x:f>
        <x:v>7</x:v>
      </x:c>
      <x:c r="M44" s="52" t="str">
        <x:v>ITEM_OK</x:v>
      </x:c>
      <x:c r="N44" s="52" t="str">
        <x:v>Предмет найден в hytale_items.xlsx</x:v>
      </x:c>
    </x:row>
    <x:row r="45">
      <x:c r="A45" s="60" t="str">
        <x:v>ITEM_Weapon_Longsword_Adamantite</x:v>
      </x:c>
      <x:c r="B45" s="60" t="str">
        <x:v>Предмет</x:v>
      </x:c>
      <x:c r="C45" s="60" t="str">
        <x:v>Jackpot</x:v>
      </x:c>
      <x:c r="D45" s="60" t="str">
        <x:v>Adamantite Longsword</x:v>
      </x:c>
      <x:c r="E45" s="60" t="str">
        <x:v>Adamantite Longsword</x:v>
      </x:c>
      <x:c r="F45" s="60" t="str">
        <x:v>Weapon_Longsword_Adamantite</x:v>
      </x:c>
      <x:c r="G45" s="60" t="n">
        <x:v>1</x:v>
      </x:c>
      <x:c r="H45" s="61" t="n">
        <x:v>10</x:v>
      </x:c>
      <x:c r="I45" s="62" t="n">
        <x:f>H45/10000</x:f>
        <x:v>0.001</x:v>
      </x:c>
      <x:c r="J45" s="61" t="n">
        <x:f>IF(I45=0,"—",ROUND(100/I45,0))</x:f>
        <x:v>100000</x:v>
      </x:c>
      <x:c r="K45" s="63" t="n">
        <x:v>18000</x:v>
      </x:c>
      <x:c r="L45" s="63" t="n">
        <x:f>K45*H45/1000000</x:f>
        <x:v>0.18</x:v>
      </x:c>
      <x:c r="M45" s="60" t="str">
        <x:v>ITEM_OK</x:v>
      </x:c>
      <x:c r="N45" s="60" t="str">
        <x:v>Джекпот: реальный предмет из файла</x:v>
      </x:c>
    </x:row>
    <x:row r="46">
      <x:c r="A46" s="60" t="str">
        <x:v>ITEM_Armor_Adamantite_Chest</x:v>
      </x:c>
      <x:c r="B46" s="60" t="str">
        <x:v>Предмет</x:v>
      </x:c>
      <x:c r="C46" s="60" t="str">
        <x:v>Jackpot</x:v>
      </x:c>
      <x:c r="D46" s="60" t="str">
        <x:v>Adamantite Cuirass</x:v>
      </x:c>
      <x:c r="E46" s="60" t="str">
        <x:v>Adamantite Cuirass</x:v>
      </x:c>
      <x:c r="F46" s="60" t="str">
        <x:v>Armor_Adamantite_Chest</x:v>
      </x:c>
      <x:c r="G46" s="60" t="n">
        <x:v>1</x:v>
      </x:c>
      <x:c r="H46" s="61" t="n">
        <x:v>8</x:v>
      </x:c>
      <x:c r="I46" s="62" t="n">
        <x:f>H46/10000</x:f>
        <x:v>0.0008</x:v>
      </x:c>
      <x:c r="J46" s="61" t="n">
        <x:f>IF(I46=0,"—",ROUND(100/I46,0))</x:f>
        <x:v>125000</x:v>
      </x:c>
      <x:c r="K46" s="63" t="n">
        <x:v>26250</x:v>
      </x:c>
      <x:c r="L46" s="63" t="n">
        <x:f>K46*H46/1000000</x:f>
        <x:v>0.21</x:v>
      </x:c>
      <x:c r="M46" s="60" t="str">
        <x:v>ITEM_OK</x:v>
      </x:c>
      <x:c r="N46" s="60" t="str">
        <x:v>Джекпот: реальный предмет из файла</x:v>
      </x:c>
    </x:row>
    <x:row r="47">
      <x:c r="A47" s="60" t="str">
        <x:v>ITEM_Weapon_Staff_Adamantite</x:v>
      </x:c>
      <x:c r="B47" s="60" t="str">
        <x:v>Предмет</x:v>
      </x:c>
      <x:c r="C47" s="60" t="str">
        <x:v>Jackpot</x:v>
      </x:c>
      <x:c r="D47" s="60" t="str">
        <x:v>Adamantite Staff</x:v>
      </x:c>
      <x:c r="E47" s="60" t="str">
        <x:v>Adamantite Staff</x:v>
      </x:c>
      <x:c r="F47" s="60" t="str">
        <x:v>Weapon_Staff_Adamantite</x:v>
      </x:c>
      <x:c r="G47" s="60" t="n">
        <x:v>1</x:v>
      </x:c>
      <x:c r="H47" s="61" t="n">
        <x:v>8</x:v>
      </x:c>
      <x:c r="I47" s="62" t="n">
        <x:f>H47/10000</x:f>
        <x:v>0.0008</x:v>
      </x:c>
      <x:c r="J47" s="61" t="n">
        <x:f>IF(I47=0,"—",ROUND(100/I47,0))</x:f>
        <x:v>125000</x:v>
      </x:c>
      <x:c r="K47" s="63" t="n">
        <x:v>25000</x:v>
      </x:c>
      <x:c r="L47" s="63" t="n">
        <x:f>K47*H47/1000000</x:f>
        <x:v>0.2</x:v>
      </x:c>
      <x:c r="M47" s="60" t="str">
        <x:v>ITEM_OK</x:v>
      </x:c>
      <x:c r="N47" s="60" t="str">
        <x:v>Джекпот: реальный предмет из файла</x:v>
      </x:c>
    </x:row>
    <x:row r="48">
      <x:c r="A48" s="60" t="str">
        <x:v>SERVER_COINS_100000</x:v>
      </x:c>
      <x:c r="B48" s="60" t="str">
        <x:v>Сервисная награда</x:v>
      </x:c>
      <x:c r="C48" s="60" t="str">
        <x:v>Jackpot</x:v>
      </x:c>
      <x:c r="D48" s="60" t="str">
        <x:v>100000 монет</x:v>
      </x:c>
      <x:c r="E48" s="60" t="str"/>
      <x:c r="F48" s="60" t="str">
        <x:v>SERVER_COINS_100000</x:v>
      </x:c>
      <x:c r="G48" s="60" t="n">
        <x:v>100000</x:v>
      </x:c>
      <x:c r="H48" s="61" t="n">
        <x:v>8</x:v>
      </x:c>
      <x:c r="I48" s="62" t="n">
        <x:f>H48/10000</x:f>
        <x:v>0.0008</x:v>
      </x:c>
      <x:c r="J48" s="61" t="n">
        <x:f>IF(I48=0,"—",ROUND(100/I48,0))</x:f>
        <x:v>125000</x:v>
      </x:c>
      <x:c r="K48" s="63" t="n">
        <x:v>100000</x:v>
      </x:c>
      <x:c r="L48" s="63" t="n">
        <x:f>K48*H48/1000000</x:f>
        <x:v>0.8</x:v>
      </x:c>
      <x:c r="M48" s="60" t="str">
        <x:v>SERVICE_OK</x:v>
      </x:c>
      <x:c r="N48" s="60" t="str">
        <x:v>Джекпот: сервисная валюта сервера</x:v>
      </x:c>
    </x:row>
    <x:row r="49">
      <x:c r="A49" s="60" t="str">
        <x:v>ITEM_Weapon_Longsword_Void</x:v>
      </x:c>
      <x:c r="B49" s="60" t="str">
        <x:v>Предмет</x:v>
      </x:c>
      <x:c r="C49" s="60" t="str">
        <x:v>Jackpot</x:v>
      </x:c>
      <x:c r="D49" s="60" t="str">
        <x:v>Void Longsword</x:v>
      </x:c>
      <x:c r="E49" s="60" t="str">
        <x:v>Void Longsword</x:v>
      </x:c>
      <x:c r="F49" s="60" t="str">
        <x:v>Weapon_Longsword_Void</x:v>
      </x:c>
      <x:c r="G49" s="60" t="n">
        <x:v>1</x:v>
      </x:c>
      <x:c r="H49" s="61" t="n">
        <x:v>6</x:v>
      </x:c>
      <x:c r="I49" s="62" t="n">
        <x:f>H49/10000</x:f>
        <x:v>0.0006</x:v>
      </x:c>
      <x:c r="J49" s="61" t="n">
        <x:f>IF(I49=0,"—",ROUND(100/I49,0))</x:f>
        <x:v>166667</x:v>
      </x:c>
      <x:c r="K49" s="63" t="n">
        <x:v>35000</x:v>
      </x:c>
      <x:c r="L49" s="63" t="n">
        <x:f>K49*H49/1000000</x:f>
        <x:v>0.21</x:v>
      </x:c>
      <x:c r="M49" s="60" t="str">
        <x:v>ITEM_OK</x:v>
      </x:c>
      <x:c r="N49" s="60" t="str">
        <x:v>Джекпот: реальный предмет из файла</x:v>
      </x:c>
    </x:row>
    <x:row r="50">
      <x:c r="A50" s="60" t="str">
        <x:v>SERVER_FREE_SPIN_100</x:v>
      </x:c>
      <x:c r="B50" s="60" t="str">
        <x:v>Сервисная награда</x:v>
      </x:c>
      <x:c r="C50" s="60" t="str">
        <x:v>Jackpot</x:v>
      </x:c>
      <x:c r="D50" s="60" t="str">
        <x:v>Free Spin x100</x:v>
      </x:c>
      <x:c r="E50" s="60" t="str"/>
      <x:c r="F50" s="60" t="str">
        <x:v>SERVER_FREE_SPIN_100</x:v>
      </x:c>
      <x:c r="G50" s="60" t="n">
        <x:v>100</x:v>
      </x:c>
      <x:c r="H50" s="61" t="n">
        <x:v>5</x:v>
      </x:c>
      <x:c r="I50" s="62" t="n">
        <x:f>H50/10000</x:f>
        <x:v>0.0005</x:v>
      </x:c>
      <x:c r="J50" s="61" t="n">
        <x:f>IF(I50=0,"—",ROUND(100/I50,0))</x:f>
        <x:v>200000</x:v>
      </x:c>
      <x:c r="K50" s="63" t="n">
        <x:v>100000</x:v>
      </x:c>
      <x:c r="L50" s="63" t="n">
        <x:f>K50*H50/1000000</x:f>
        <x:v>0.5</x:v>
      </x:c>
      <x:c r="M50" s="60" t="str">
        <x:v>SERVICE_OK</x:v>
      </x:c>
      <x:c r="N50" s="60" t="str">
        <x:v>Джекпот: 100 платных спинов</x:v>
      </x:c>
    </x:row>
    <x:row r="51">
      <x:c r="A51" s="60" t="str">
        <x:v>PACK_ADAMANTITE_SET</x:v>
      </x:c>
      <x:c r="B51" s="60" t="str">
        <x:v>Пак</x:v>
      </x:c>
      <x:c r="C51" s="60" t="str">
        <x:v>Jackpot</x:v>
      </x:c>
      <x:c r="D51" s="60" t="str">
        <x:v>Adamantite Set Pack</x:v>
      </x:c>
      <x:c r="E51" s="60" t="str">
        <x:v>Adamantite Set Pack</x:v>
      </x:c>
      <x:c r="F51" s="60" t="str">
        <x:v>PACK_ADAMANTITE_SET</x:v>
      </x:c>
      <x:c r="G51" s="60" t="n">
        <x:v>1</x:v>
      </x:c>
      <x:c r="H51" s="61" t="n">
        <x:v>3</x:v>
      </x:c>
      <x:c r="I51" s="62" t="n">
        <x:f>H51/10000</x:f>
        <x:v>0.0003</x:v>
      </x:c>
      <x:c r="J51" s="61" t="n">
        <x:f>IF(I51=0,"—",ROUND(100/I51,0))</x:f>
        <x:v>333333</x:v>
      </x:c>
      <x:c r="K51" s="63" t="n">
        <x:v>75000</x:v>
      </x:c>
      <x:c r="L51" s="63" t="n">
        <x:f>K51*H51/1000000</x:f>
        <x:v>0.225</x:v>
      </x:c>
      <x:c r="M51" s="60" t="str">
        <x:v>PACK_OK</x:v>
      </x:c>
      <x:c r="N51" s="60" t="str">
        <x:v>Джекпот-пак из реальных предметов Hytale</x:v>
      </x:c>
    </x:row>
    <x:row r="52">
      <x:c r="A52" s="60" t="str">
        <x:v>PACK_MITHRIL_SET</x:v>
      </x:c>
      <x:c r="B52" s="60" t="str">
        <x:v>Пак</x:v>
      </x:c>
      <x:c r="C52" s="60" t="str">
        <x:v>Jackpot</x:v>
      </x:c>
      <x:c r="D52" s="60" t="str">
        <x:v>Mithril Set Pack</x:v>
      </x:c>
      <x:c r="E52" s="60" t="str">
        <x:v>Mithril Set Pack</x:v>
      </x:c>
      <x:c r="F52" s="60" t="str">
        <x:v>PACK_MITHRIL_SET</x:v>
      </x:c>
      <x:c r="G52" s="60" t="n">
        <x:v>1</x:v>
      </x:c>
      <x:c r="H52" s="61" t="n">
        <x:v>2</x:v>
      </x:c>
      <x:c r="I52" s="62" t="n">
        <x:f>H52/10000</x:f>
        <x:v>0.0002</x:v>
      </x:c>
      <x:c r="J52" s="61" t="n">
        <x:f>IF(I52=0,"—",ROUND(100/I52,0))</x:f>
        <x:v>500000</x:v>
      </x:c>
      <x:c r="K52" s="63" t="n">
        <x:v>35000</x:v>
      </x:c>
      <x:c r="L52" s="63" t="n">
        <x:f>K52*H52/1000000</x:f>
        <x:v>0.07</x:v>
      </x:c>
      <x:c r="M52" s="60" t="str">
        <x:v>PACK_OK</x:v>
      </x:c>
      <x:c r="N52" s="60" t="str">
        <x:v>Джекпот-пак из реальных предметов Hytale</x:v>
      </x:c>
    </x:row>
  </x:sheetData>
  <x:pageMargins left="0.7" right="0.7" top="0.75" bottom="0.75" header="0.3" footer="0.3"/>
  <x:tableParts count="1">
    <x:tablePart xmlns:r="http://schemas.openxmlformats.org/officeDocument/2006/relationships" r:id="R072e8a1bae3b495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20" hidden="0" customWidth="1"/>
    <x:col min="4" max="4" width="14" hidden="0" customWidth="1"/>
    <x:col min="5" max="5" width="32" hidden="0" customWidth="1"/>
    <x:col min="6" max="6" width="54" hidden="0" customWidth="1"/>
  </x:cols>
  <x:sheetData>
    <x:row r="1">
      <x:c r="A1" s="10" t="str">
        <x:v>Слот</x:v>
      </x:c>
      <x:c r="B1" s="10" t="str">
        <x:v>Витринная награда</x:v>
      </x:c>
      <x:c r="C1" s="10" t="str">
        <x:v>Тип</x:v>
      </x:c>
      <x:c r="D1" s="10" t="str">
        <x:v>Редкость</x:v>
      </x:c>
      <x:c r="E1" s="10" t="str">
        <x:v>ID</x:v>
      </x:c>
      <x:c r="F1" s="10" t="str">
        <x:v>Комментарий</x:v>
      </x:c>
    </x:row>
    <x:row r="2">
      <x:c r="A2" s="20" t="str">
        <x:v>1</x:v>
      </x:c>
      <x:c r="B2" s="20" t="str">
        <x:v>100 монет</x:v>
      </x:c>
      <x:c r="C2" s="20" t="str">
        <x:v>Сервисная награда</x:v>
      </x:c>
      <x:c r="D2" s="20" t="str">
        <x:v>Common</x:v>
      </x:c>
      <x:c r="E2" s="20" t="str">
        <x:v>SERVER_COINS_100</x:v>
      </x:c>
      <x:c r="F2" s="20" t="str">
        <x:v>Витринный слот; шанс берется из Reward Pool</x:v>
      </x:c>
    </x:row>
    <x:row r="3">
      <x:c r="A3" s="20" t="str">
        <x:v>2</x:v>
      </x:c>
      <x:c r="B3" s="20" t="str">
        <x:v>Plant Fiber x12</x:v>
      </x:c>
      <x:c r="C3" s="20" t="str">
        <x:v>Предмет</x:v>
      </x:c>
      <x:c r="D3" s="20" t="str">
        <x:v>Common</x:v>
      </x:c>
      <x:c r="E3" s="20" t="str">
        <x:v>Ingredient_Fibre</x:v>
      </x:c>
      <x:c r="F3" s="20" t="str">
        <x:v>Реальный предмет из hytale_items.xlsx</x:v>
      </x:c>
    </x:row>
    <x:row r="4">
      <x:c r="A4" s="28" t="str">
        <x:v>3</x:v>
      </x:c>
      <x:c r="B4" s="28" t="str">
        <x:v>Builder Pack</x:v>
      </x:c>
      <x:c r="C4" s="28" t="str">
        <x:v>Пак</x:v>
      </x:c>
      <x:c r="D4" s="28" t="str">
        <x:v>Rare</x:v>
      </x:c>
      <x:c r="E4" s="28" t="str">
        <x:v>PACK_BUILDER</x:v>
      </x:c>
      <x:c r="F4" s="28" t="str">
        <x:v>Пак из реальных предметов</x:v>
      </x:c>
    </x:row>
    <x:row r="5">
      <x:c r="A5" s="28" t="str">
        <x:v>4</x:v>
      </x:c>
      <x:c r="B5" s="28" t="str">
        <x:v>Farmer Pack</x:v>
      </x:c>
      <x:c r="C5" s="28" t="str">
        <x:v>Пак</x:v>
      </x:c>
      <x:c r="D5" s="28" t="str">
        <x:v>Rare</x:v>
      </x:c>
      <x:c r="E5" s="28" t="str">
        <x:v>PACK_FARMER</x:v>
      </x:c>
      <x:c r="F5" s="28" t="str">
        <x:v>Пак из реальных предметов</x:v>
      </x:c>
    </x:row>
    <x:row r="6">
      <x:c r="A6" s="28" t="str">
        <x:v>5</x:v>
      </x:c>
      <x:c r="B6" s="28" t="str">
        <x:v>Free Spin x1</x:v>
      </x:c>
      <x:c r="C6" s="28" t="str">
        <x:v>Сервисная награда</x:v>
      </x:c>
      <x:c r="D6" s="28" t="str">
        <x:v>Rare</x:v>
      </x:c>
      <x:c r="E6" s="28" t="str">
        <x:v>SERVER_FREE_SPIN_1</x:v>
      </x:c>
      <x:c r="F6" s="28" t="str">
        <x:v>Редкий бесплатный спин</x:v>
      </x:c>
    </x:row>
    <x:row r="7">
      <x:c r="A7" s="28" t="str">
        <x:v>6</x:v>
      </x:c>
      <x:c r="B7" s="28" t="str">
        <x:v>Health Potion x3</x:v>
      </x:c>
      <x:c r="C7" s="28" t="str">
        <x:v>Предмет</x:v>
      </x:c>
      <x:c r="D7" s="28" t="str">
        <x:v>Rare</x:v>
      </x:c>
      <x:c r="E7" s="28" t="str">
        <x:v>Potion_Health</x:v>
      </x:c>
      <x:c r="F7" s="28" t="str">
        <x:v>Реальный предмет из hytale_items.xlsx</x:v>
      </x:c>
    </x:row>
    <x:row r="8">
      <x:c r="A8" s="36" t="str">
        <x:v>7</x:v>
      </x:c>
      <x:c r="B8" s="36" t="str">
        <x:v>Alchemist Pack</x:v>
      </x:c>
      <x:c r="C8" s="36" t="str">
        <x:v>Пак</x:v>
      </x:c>
      <x:c r="D8" s="36" t="str">
        <x:v>Epic</x:v>
      </x:c>
      <x:c r="E8" s="36" t="str">
        <x:v>PACK_ALCHEMIST</x:v>
      </x:c>
      <x:c r="F8" s="36" t="str">
        <x:v>Пак из реальных предметов</x:v>
      </x:c>
    </x:row>
    <x:row r="9">
      <x:c r="A9" s="36" t="str">
        <x:v>8</x:v>
      </x:c>
      <x:c r="B9" s="36" t="str">
        <x:v>Iron Longsword</x:v>
      </x:c>
      <x:c r="C9" s="36" t="str">
        <x:v>Предмет</x:v>
      </x:c>
      <x:c r="D9" s="36" t="str">
        <x:v>Epic</x:v>
      </x:c>
      <x:c r="E9" s="36" t="str">
        <x:v>Weapon_Longsword_Iron</x:v>
      </x:c>
      <x:c r="F9" s="36" t="str">
        <x:v>Реальный предмет из hytale_items.xlsx</x:v>
      </x:c>
    </x:row>
    <x:row r="10">
      <x:c r="A10" s="44" t="str">
        <x:v>9</x:v>
      </x:c>
      <x:c r="B10" s="44" t="str">
        <x:v>Cobalt Sword</x:v>
      </x:c>
      <x:c r="C10" s="44" t="str">
        <x:v>Предмет</x:v>
      </x:c>
      <x:c r="D10" s="44" t="str">
        <x:v>Legendary</x:v>
      </x:c>
      <x:c r="E10" s="44" t="str">
        <x:v>Weapon_Sword_Cobalt</x:v>
      </x:c>
      <x:c r="F10" s="44" t="str">
        <x:v>Реальный предмет из hytale_items.xlsx</x:v>
      </x:c>
    </x:row>
    <x:row r="11">
      <x:c r="A11" s="44" t="str">
        <x:v>10</x:v>
      </x:c>
      <x:c r="B11" s="44" t="str">
        <x:v>Thorium Staff</x:v>
      </x:c>
      <x:c r="C11" s="44" t="str">
        <x:v>Предмет</x:v>
      </x:c>
      <x:c r="D11" s="44" t="str">
        <x:v>Legendary</x:v>
      </x:c>
      <x:c r="E11" s="44" t="str">
        <x:v>Weapon_Staff_Thorium</x:v>
      </x:c>
      <x:c r="F11" s="44" t="str">
        <x:v>Реальный предмет из hytale_items.xlsx</x:v>
      </x:c>
    </x:row>
    <x:row r="12">
      <x:c r="A12" s="52" t="str">
        <x:v>11</x:v>
      </x:c>
      <x:c r="B12" s="52" t="str">
        <x:v>Mithril Longsword</x:v>
      </x:c>
      <x:c r="C12" s="52" t="str">
        <x:v>Предмет</x:v>
      </x:c>
      <x:c r="D12" s="52" t="str">
        <x:v>Mythic</x:v>
      </x:c>
      <x:c r="E12" s="52" t="str">
        <x:v>Weapon_Longsword_Mithril</x:v>
      </x:c>
      <x:c r="F12" s="52" t="str">
        <x:v>Реальный предмет из hytale_items.xlsx</x:v>
      </x:c>
    </x:row>
    <x:row r="13">
      <x:c r="A13" s="60" t="str">
        <x:v>12</x:v>
      </x:c>
      <x:c r="B13" s="60" t="str">
        <x:v>Adamantite Longsword</x:v>
      </x:c>
      <x:c r="C13" s="60" t="str">
        <x:v>Предмет</x:v>
      </x:c>
      <x:c r="D13" s="60" t="str">
        <x:v>Jackpot</x:v>
      </x:c>
      <x:c r="E13" s="60" t="str">
        <x:v>Weapon_Longsword_Adamantite</x:v>
      </x:c>
      <x:c r="F13" s="60" t="str">
        <x:v>Сверхредкий реальный предмет из файла</x:v>
      </x:c>
    </x:row>
  </x:sheetData>
  <x:pageMargins left="0.7" right="0.7" top="0.75" bottom="0.75" header="0.3" footer="0.3"/>
  <x:tableParts count="1">
    <x:tablePart xmlns:r="http://schemas.openxmlformats.org/officeDocument/2006/relationships" r:id="Rc57c97273cae4c2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28" hidden="0" customWidth="1"/>
    <x:col min="5" max="5" width="34" hidden="0" customWidth="1"/>
    <x:col min="6" max="6" width="10" hidden="0" customWidth="1"/>
    <x:col min="7" max="7" width="14" hidden="0" customWidth="1"/>
  </x:cols>
  <x:sheetData>
    <x:row r="1">
      <x:c r="A1" s="10" t="str">
        <x:v>Pack ID</x:v>
      </x:c>
      <x:c r="B1" s="10" t="str">
        <x:v>Пак</x:v>
      </x:c>
      <x:c r="C1" s="10" t="str">
        <x:v>Категория</x:v>
      </x:c>
      <x:c r="D1" s="10" t="str">
        <x:v>Item</x:v>
      </x:c>
      <x:c r="E1" s="10" t="str">
        <x:v>Item ID</x:v>
      </x:c>
      <x:c r="F1" s="10" t="str">
        <x:v>Кол-во</x:v>
      </x:c>
      <x:c r="G1" s="10" t="str">
        <x:v>Проверка</x:v>
      </x:c>
    </x:row>
    <x:row r="2">
      <x:c r="A2" s="12" t="str">
        <x:v>PACK_BUILDER</x:v>
      </x:c>
      <x:c r="B2" s="12" t="str">
        <x:v>Builder Pack</x:v>
      </x:c>
      <x:c r="C2" s="12" t="str">
        <x:v>Стройка</x:v>
      </x:c>
      <x:c r="D2" s="12" t="str">
        <x:v>Dirt</x:v>
      </x:c>
      <x:c r="E2" s="12" t="str">
        <x:v>Soil_Dirt</x:v>
      </x:c>
      <x:c r="F2" s="12" t="n">
        <x:v>128</x:v>
      </x:c>
      <x:c r="G2" s="12" t="str">
        <x:v>ITEM_OK</x:v>
      </x:c>
    </x:row>
    <x:row r="3">
      <x:c r="A3" s="12" t="str">
        <x:v>PACK_BUILDER</x:v>
      </x:c>
      <x:c r="B3" s="12" t="str">
        <x:v>Builder Pack</x:v>
      </x:c>
      <x:c r="C3" s="12" t="str">
        <x:v>Стройка</x:v>
      </x:c>
      <x:c r="D3" s="12" t="str">
        <x:v>Stone</x:v>
      </x:c>
      <x:c r="E3" s="12" t="str">
        <x:v>Rock_Stone</x:v>
      </x:c>
      <x:c r="F3" s="12" t="n">
        <x:v>128</x:v>
      </x:c>
      <x:c r="G3" s="12" t="str">
        <x:v>ITEM_OK</x:v>
      </x:c>
    </x:row>
    <x:row r="4">
      <x:c r="A4" s="12" t="str">
        <x:v>PACK_BUILDER</x:v>
      </x:c>
      <x:c r="B4" s="12" t="str">
        <x:v>Builder Pack</x:v>
      </x:c>
      <x:c r="C4" s="12" t="str">
        <x:v>Стройка</x:v>
      </x:c>
      <x:c r="D4" s="12" t="str">
        <x:v>Apple Log</x:v>
      </x:c>
      <x:c r="E4" s="12" t="str">
        <x:v>Wood_Apple_Trunk</x:v>
      </x:c>
      <x:c r="F4" s="12" t="n">
        <x:v>64</x:v>
      </x:c>
      <x:c r="G4" s="12" t="str">
        <x:v>ITEM_OK</x:v>
      </x:c>
    </x:row>
    <x:row r="5">
      <x:c r="A5" s="12" t="str">
        <x:v>PACK_BUILDER</x:v>
      </x:c>
      <x:c r="B5" s="12" t="str">
        <x:v>Builder Pack</x:v>
      </x:c>
      <x:c r="C5" s="12" t="str">
        <x:v>Стройка</x:v>
      </x:c>
      <x:c r="D5" s="12" t="str">
        <x:v>Wooden Torch</x:v>
      </x:c>
      <x:c r="E5" s="12" t="str">
        <x:v>Wood_Torch_Wall</x:v>
      </x:c>
      <x:c r="F5" s="12" t="n">
        <x:v>32</x:v>
      </x:c>
      <x:c r="G5" s="12" t="str">
        <x:v>ITEM_OK</x:v>
      </x:c>
    </x:row>
    <x:row r="6">
      <x:c r="A6" s="12" t="str">
        <x:v>PACK_BUILDER</x:v>
      </x:c>
      <x:c r="B6" s="12" t="str">
        <x:v>Builder Pack</x:v>
      </x:c>
      <x:c r="C6" s="12" t="str">
        <x:v>Стройка</x:v>
      </x:c>
      <x:c r="D6" s="12" t="str">
        <x:v>Crude Door</x:v>
      </x:c>
      <x:c r="E6" s="12" t="str">
        <x:v>Furniture_Crude_Door</x:v>
      </x:c>
      <x:c r="F6" s="12" t="n">
        <x:v>2</x:v>
      </x:c>
      <x:c r="G6" s="12" t="str">
        <x:v>ITEM_OK</x:v>
      </x:c>
    </x:row>
    <x:row r="7">
      <x:c r="A7" s="12" t="str">
        <x:v>PACK_BUILDER</x:v>
      </x:c>
      <x:c r="B7" s="12" t="str">
        <x:v>Builder Pack</x:v>
      </x:c>
      <x:c r="C7" s="12" t="str">
        <x:v>Стройка</x:v>
      </x:c>
      <x:c r="D7" s="12" t="str">
        <x:v>Workbench</x:v>
      </x:c>
      <x:c r="E7" s="12" t="str">
        <x:v>Bench_WorkBench</x:v>
      </x:c>
      <x:c r="F7" s="12" t="n">
        <x:v>1</x:v>
      </x:c>
      <x:c r="G7" s="12" t="str">
        <x:v>ITEM_OK</x:v>
      </x:c>
    </x:row>
    <x:row r="8">
      <x:c r="A8" s="12" t="str">
        <x:v>PACK_LANDSCAPE</x:v>
      </x:c>
      <x:c r="B8" s="12" t="str">
        <x:v>Landscape Pack</x:v>
      </x:c>
      <x:c r="C8" s="12" t="str">
        <x:v>Ландшафт</x:v>
      </x:c>
      <x:c r="D8" s="12" t="str">
        <x:v>Full Grass</x:v>
      </x:c>
      <x:c r="E8" s="12" t="str">
        <x:v>Soil_Grass_Full</x:v>
      </x:c>
      <x:c r="F8" s="12" t="n">
        <x:v>128</x:v>
      </x:c>
      <x:c r="G8" s="12" t="str">
        <x:v>ITEM_OK</x:v>
      </x:c>
    </x:row>
    <x:row r="9">
      <x:c r="A9" s="12" t="str">
        <x:v>PACK_LANDSCAPE</x:v>
      </x:c>
      <x:c r="B9" s="12" t="str">
        <x:v>Landscape Pack</x:v>
      </x:c>
      <x:c r="C9" s="12" t="str">
        <x:v>Ландшафт</x:v>
      </x:c>
      <x:c r="D9" s="12" t="str">
        <x:v>Dirt</x:v>
      </x:c>
      <x:c r="E9" s="12" t="str">
        <x:v>Soil_Dirt</x:v>
      </x:c>
      <x:c r="F9" s="12" t="n">
        <x:v>128</x:v>
      </x:c>
      <x:c r="G9" s="12" t="str">
        <x:v>ITEM_OK</x:v>
      </x:c>
    </x:row>
    <x:row r="10">
      <x:c r="A10" s="12" t="str">
        <x:v>PACK_LANDSCAPE</x:v>
      </x:c>
      <x:c r="B10" s="12" t="str">
        <x:v>Landscape Pack</x:v>
      </x:c>
      <x:c r="C10" s="12" t="str">
        <x:v>Ландшафт</x:v>
      </x:c>
      <x:c r="D10" s="12" t="str">
        <x:v>Moss</x:v>
      </x:c>
      <x:c r="E10" s="12" t="str">
        <x:v>Plant_Moss_Green</x:v>
      </x:c>
      <x:c r="F10" s="12" t="n">
        <x:v>64</x:v>
      </x:c>
      <x:c r="G10" s="12" t="str">
        <x:v>ITEM_OK</x:v>
      </x:c>
    </x:row>
    <x:row r="11">
      <x:c r="A11" s="12" t="str">
        <x:v>PACK_LANDSCAPE</x:v>
      </x:c>
      <x:c r="B11" s="12" t="str">
        <x:v>Landscape Pack</x:v>
      </x:c>
      <x:c r="C11" s="12" t="str">
        <x:v>Ландшафт</x:v>
      </x:c>
      <x:c r="D11" s="12" t="str">
        <x:v>Apple Leaves</x:v>
      </x:c>
      <x:c r="E11" s="12" t="str">
        <x:v>Plant_Leaves_Apple</x:v>
      </x:c>
      <x:c r="F11" s="12" t="n">
        <x:v>64</x:v>
      </x:c>
      <x:c r="G11" s="12" t="str">
        <x:v>ITEM_OK</x:v>
      </x:c>
    </x:row>
    <x:row r="12">
      <x:c r="A12" s="12" t="str">
        <x:v>PACK_LANDSCAPE</x:v>
      </x:c>
      <x:c r="B12" s="12" t="str">
        <x:v>Landscape Pack</x:v>
      </x:c>
      <x:c r="C12" s="12" t="str">
        <x:v>Ландшафт</x:v>
      </x:c>
      <x:c r="D12" s="12" t="str">
        <x:v>Red Petals</x:v>
      </x:c>
      <x:c r="E12" s="12" t="str">
        <x:v>Plant_Petals_Red</x:v>
      </x:c>
      <x:c r="F12" s="12" t="n">
        <x:v>32</x:v>
      </x:c>
      <x:c r="G12" s="12" t="str">
        <x:v>ITEM_OK</x:v>
      </x:c>
    </x:row>
    <x:row r="13">
      <x:c r="A13" s="12" t="str">
        <x:v>PACK_LANDSCAPE</x:v>
      </x:c>
      <x:c r="B13" s="12" t="str">
        <x:v>Landscape Pack</x:v>
      </x:c>
      <x:c r="C13" s="12" t="str">
        <x:v>Ландшафт</x:v>
      </x:c>
      <x:c r="D13" s="12" t="str">
        <x:v>Apple Seed Bag</x:v>
      </x:c>
      <x:c r="E13" s="12" t="str">
        <x:v>Plant_Seeds_Apple</x:v>
      </x:c>
      <x:c r="F13" s="12" t="n">
        <x:v>8</x:v>
      </x:c>
      <x:c r="G13" s="12" t="str">
        <x:v>ITEM_OK</x:v>
      </x:c>
    </x:row>
    <x:row r="14">
      <x:c r="A14" s="12" t="str">
        <x:v>PACK_LANDSCAPE</x:v>
      </x:c>
      <x:c r="B14" s="12" t="str">
        <x:v>Landscape Pack</x:v>
      </x:c>
      <x:c r="C14" s="12" t="str">
        <x:v>Ландшафт</x:v>
      </x:c>
      <x:c r="D14" s="12" t="str">
        <x:v>Ivy</x:v>
      </x:c>
      <x:c r="E14" s="12" t="str">
        <x:v>Plant_Vine_Wall</x:v>
      </x:c>
      <x:c r="F14" s="12" t="n">
        <x:v>16</x:v>
      </x:c>
      <x:c r="G14" s="12" t="str">
        <x:v>ITEM_OK</x:v>
      </x:c>
    </x:row>
    <x:row r="15">
      <x:c r="A15" s="12" t="str">
        <x:v>PACK_FARMER</x:v>
      </x:c>
      <x:c r="B15" s="12" t="str">
        <x:v>Farmer Pack</x:v>
      </x:c>
      <x:c r="C15" s="12" t="str">
        <x:v>Фермерство</x:v>
      </x:c>
      <x:c r="D15" s="12" t="str">
        <x:v>Wheat Seed Bag</x:v>
      </x:c>
      <x:c r="E15" s="12" t="str">
        <x:v>Plant_Seeds_Wheat</x:v>
      </x:c>
      <x:c r="F15" s="12" t="n">
        <x:v>32</x:v>
      </x:c>
      <x:c r="G15" s="12" t="str">
        <x:v>ITEM_OK</x:v>
      </x:c>
    </x:row>
    <x:row r="16">
      <x:c r="A16" s="12" t="str">
        <x:v>PACK_FARMER</x:v>
      </x:c>
      <x:c r="B16" s="12" t="str">
        <x:v>Farmer Pack</x:v>
      </x:c>
      <x:c r="C16" s="12" t="str">
        <x:v>Фермерство</x:v>
      </x:c>
      <x:c r="D16" s="12" t="str">
        <x:v>Carrot Seed Bag</x:v>
      </x:c>
      <x:c r="E16" s="12" t="str">
        <x:v>Plant_Seeds_Carrot</x:v>
      </x:c>
      <x:c r="F16" s="12" t="n">
        <x:v>32</x:v>
      </x:c>
      <x:c r="G16" s="12" t="str">
        <x:v>ITEM_OK</x:v>
      </x:c>
    </x:row>
    <x:row r="17">
      <x:c r="A17" s="12" t="str">
        <x:v>PACK_FARMER</x:v>
      </x:c>
      <x:c r="B17" s="12" t="str">
        <x:v>Farmer Pack</x:v>
      </x:c>
      <x:c r="C17" s="12" t="str">
        <x:v>Фермерство</x:v>
      </x:c>
      <x:c r="D17" s="12" t="str">
        <x:v>Berry Bush</x:v>
      </x:c>
      <x:c r="E17" s="12" t="str">
        <x:v>Plant_Crop_Berry_Block</x:v>
      </x:c>
      <x:c r="F17" s="12" t="n">
        <x:v>8</x:v>
      </x:c>
      <x:c r="G17" s="12" t="str">
        <x:v>ITEM_OK</x:v>
      </x:c>
    </x:row>
    <x:row r="18">
      <x:c r="A18" s="12" t="str">
        <x:v>PACK_FARMER</x:v>
      </x:c>
      <x:c r="B18" s="12" t="str">
        <x:v>Farmer Pack</x:v>
      </x:c>
      <x:c r="C18" s="12" t="str">
        <x:v>Фермерство</x:v>
      </x:c>
      <x:c r="D18" s="12" t="str">
        <x:v>Fertilizer Bag</x:v>
      </x:c>
      <x:c r="E18" s="12" t="str">
        <x:v>Tool_Fertilizer</x:v>
      </x:c>
      <x:c r="F18" s="12" t="n">
        <x:v>16</x:v>
      </x:c>
      <x:c r="G18" s="12" t="str">
        <x:v>ITEM_OK</x:v>
      </x:c>
    </x:row>
    <x:row r="19">
      <x:c r="A19" s="12" t="str">
        <x:v>PACK_FARMER</x:v>
      </x:c>
      <x:c r="B19" s="12" t="str">
        <x:v>Farmer Pack</x:v>
      </x:c>
      <x:c r="C19" s="12" t="str">
        <x:v>Фермерство</x:v>
      </x:c>
      <x:c r="D19" s="12" t="str">
        <x:v>Empty Watering Can</x:v>
      </x:c>
      <x:c r="E19" s="12" t="str">
        <x:v>Template_Tool_Watering_Can</x:v>
      </x:c>
      <x:c r="F19" s="12" t="n">
        <x:v>1</x:v>
      </x:c>
      <x:c r="G19" s="12" t="str">
        <x:v>ITEM_OK</x:v>
      </x:c>
    </x:row>
    <x:row r="20">
      <x:c r="A20" s="12" t="str">
        <x:v>PACK_FARMER</x:v>
      </x:c>
      <x:c r="B20" s="12" t="str">
        <x:v>Farmer Pack</x:v>
      </x:c>
      <x:c r="C20" s="12" t="str">
        <x:v>Фермерство</x:v>
      </x:c>
      <x:c r="D20" s="12" t="str">
        <x:v>Apple Seed Bag</x:v>
      </x:c>
      <x:c r="E20" s="12" t="str">
        <x:v>Plant_Seeds_Apple</x:v>
      </x:c>
      <x:c r="F20" s="12" t="n">
        <x:v>8</x:v>
      </x:c>
      <x:c r="G20" s="12" t="str">
        <x:v>ITEM_OK</x:v>
      </x:c>
    </x:row>
    <x:row r="21">
      <x:c r="A21" s="12" t="str">
        <x:v>PACK_ALCHEMIST</x:v>
      </x:c>
      <x:c r="B21" s="12" t="str">
        <x:v>Alchemist Pack</x:v>
      </x:c>
      <x:c r="C21" s="12" t="str">
        <x:v>Алхимия</x:v>
      </x:c>
      <x:c r="D21" s="12" t="str">
        <x:v>Empty Potion Bottle</x:v>
      </x:c>
      <x:c r="E21" s="12" t="str">
        <x:v>Potion_Empty</x:v>
      </x:c>
      <x:c r="F21" s="12" t="n">
        <x:v>32</x:v>
      </x:c>
      <x:c r="G21" s="12" t="str">
        <x:v>ITEM_OK</x:v>
      </x:c>
    </x:row>
    <x:row r="22">
      <x:c r="A22" s="12" t="str">
        <x:v>PACK_ALCHEMIST</x:v>
      </x:c>
      <x:c r="B22" s="12" t="str">
        <x:v>Alchemist Pack</x:v>
      </x:c>
      <x:c r="C22" s="12" t="str">
        <x:v>Алхимия</x:v>
      </x:c>
      <x:c r="D22" s="12" t="str">
        <x:v>Plant Fiber</x:v>
      </x:c>
      <x:c r="E22" s="12" t="str">
        <x:v>Ingredient_Fibre</x:v>
      </x:c>
      <x:c r="F22" s="12" t="n">
        <x:v>32</x:v>
      </x:c>
      <x:c r="G22" s="12" t="str">
        <x:v>ITEM_OK</x:v>
      </x:c>
    </x:row>
    <x:row r="23">
      <x:c r="A23" s="12" t="str">
        <x:v>PACK_ALCHEMIST</x:v>
      </x:c>
      <x:c r="B23" s="12" t="str">
        <x:v>Alchemist Pack</x:v>
      </x:c>
      <x:c r="C23" s="12" t="str">
        <x:v>Алхимия</x:v>
      </x:c>
      <x:c r="D23" s="12" t="str">
        <x:v>Red Petals</x:v>
      </x:c>
      <x:c r="E23" s="12" t="str">
        <x:v>Plant_Petals_Red</x:v>
      </x:c>
      <x:c r="F23" s="12" t="n">
        <x:v>16</x:v>
      </x:c>
      <x:c r="G23" s="12" t="str">
        <x:v>ITEM_OK</x:v>
      </x:c>
    </x:row>
    <x:row r="24">
      <x:c r="A24" s="12" t="str">
        <x:v>PACK_ALCHEMIST</x:v>
      </x:c>
      <x:c r="B24" s="12" t="str">
        <x:v>Alchemist Pack</x:v>
      </x:c>
      <x:c r="C24" s="12" t="str">
        <x:v>Алхимия</x:v>
      </x:c>
      <x:c r="D24" s="12" t="str">
        <x:v>Tree Sap</x:v>
      </x:c>
      <x:c r="E24" s="12" t="str">
        <x:v>Ingredient_Tree_Sap</x:v>
      </x:c>
      <x:c r="F24" s="12" t="n">
        <x:v>16</x:v>
      </x:c>
      <x:c r="G24" s="12" t="str">
        <x:v>ITEM_OK</x:v>
      </x:c>
    </x:row>
    <x:row r="25">
      <x:c r="A25" s="12" t="str">
        <x:v>PACK_ALCHEMIST</x:v>
      </x:c>
      <x:c r="B25" s="12" t="str">
        <x:v>Alchemist Pack</x:v>
      </x:c>
      <x:c r="C25" s="12" t="str">
        <x:v>Алхимия</x:v>
      </x:c>
      <x:c r="D25" s="12" t="str">
        <x:v>Essence of Life</x:v>
      </x:c>
      <x:c r="E25" s="12" t="str">
        <x:v>Ingredient_Life_Essence_Tomato</x:v>
      </x:c>
      <x:c r="F25" s="12" t="n">
        <x:v>3</x:v>
      </x:c>
      <x:c r="G25" s="12" t="str">
        <x:v>ITEM_OK</x:v>
      </x:c>
    </x:row>
    <x:row r="26">
      <x:c r="A26" s="12" t="str">
        <x:v>PACK_ALCHEMIST</x:v>
      </x:c>
      <x:c r="B26" s="12" t="str">
        <x:v>Alchemist Pack</x:v>
      </x:c>
      <x:c r="C26" s="12" t="str">
        <x:v>Алхимия</x:v>
      </x:c>
      <x:c r="D26" s="12" t="str">
        <x:v>Essence of Fire</x:v>
      </x:c>
      <x:c r="E26" s="12" t="str">
        <x:v>Ingredient_Fire_Essence</x:v>
      </x:c>
      <x:c r="F26" s="12" t="n">
        <x:v>2</x:v>
      </x:c>
      <x:c r="G26" s="12" t="str">
        <x:v>ITEM_OK</x:v>
      </x:c>
    </x:row>
    <x:row r="27">
      <x:c r="A27" s="12" t="str">
        <x:v>PACK_ALCHEMIST</x:v>
      </x:c>
      <x:c r="B27" s="12" t="str">
        <x:v>Alchemist Pack</x:v>
      </x:c>
      <x:c r="C27" s="12" t="str">
        <x:v>Алхимия</x:v>
      </x:c>
      <x:c r="D27" s="12" t="str">
        <x:v>Essence of Ice</x:v>
      </x:c>
      <x:c r="E27" s="12" t="str">
        <x:v>Ingredient_Ice_Essence</x:v>
      </x:c>
      <x:c r="F27" s="12" t="n">
        <x:v>2</x:v>
      </x:c>
      <x:c r="G27" s="12" t="str">
        <x:v>ITEM_OK</x:v>
      </x:c>
    </x:row>
    <x:row r="28">
      <x:c r="A28" s="12" t="str">
        <x:v>PACK_ADVENTURER</x:v>
      </x:c>
      <x:c r="B28" s="12" t="str">
        <x:v>Adventurer Pack</x:v>
      </x:c>
      <x:c r="C28" s="12" t="str">
        <x:v>PvE старт</x:v>
      </x:c>
      <x:c r="D28" s="12" t="str">
        <x:v>Iron Longsword</x:v>
      </x:c>
      <x:c r="E28" s="12" t="str">
        <x:v>Weapon_Longsword_Iron</x:v>
      </x:c>
      <x:c r="F28" s="12" t="n">
        <x:v>1</x:v>
      </x:c>
      <x:c r="G28" s="12" t="str">
        <x:v>ITEM_OK</x:v>
      </x:c>
    </x:row>
    <x:row r="29">
      <x:c r="A29" s="12" t="str">
        <x:v>PACK_ADVENTURER</x:v>
      </x:c>
      <x:c r="B29" s="12" t="str">
        <x:v>Adventurer Pack</x:v>
      </x:c>
      <x:c r="C29" s="12" t="str">
        <x:v>PvE старт</x:v>
      </x:c>
      <x:c r="D29" s="12" t="str">
        <x:v>Iron Shortbow</x:v>
      </x:c>
      <x:c r="E29" s="12" t="str">
        <x:v>Weapon_Shortbow_Iron</x:v>
      </x:c>
      <x:c r="F29" s="12" t="n">
        <x:v>1</x:v>
      </x:c>
      <x:c r="G29" s="12" t="str">
        <x:v>ITEM_OK</x:v>
      </x:c>
    </x:row>
    <x:row r="30">
      <x:c r="A30" s="12" t="str">
        <x:v>PACK_ADVENTURER</x:v>
      </x:c>
      <x:c r="B30" s="12" t="str">
        <x:v>Adventurer Pack</x:v>
      </x:c>
      <x:c r="C30" s="12" t="str">
        <x:v>PvE старт</x:v>
      </x:c>
      <x:c r="D30" s="12" t="str">
        <x:v>Iron Shield</x:v>
      </x:c>
      <x:c r="E30" s="12" t="str">
        <x:v>Weapon_Shield_Iron</x:v>
      </x:c>
      <x:c r="F30" s="12" t="n">
        <x:v>1</x:v>
      </x:c>
      <x:c r="G30" s="12" t="str">
        <x:v>ITEM_OK</x:v>
      </x:c>
    </x:row>
    <x:row r="31">
      <x:c r="A31" s="12" t="str">
        <x:v>PACK_ADVENTURER</x:v>
      </x:c>
      <x:c r="B31" s="12" t="str">
        <x:v>Adventurer Pack</x:v>
      </x:c>
      <x:c r="C31" s="12" t="str">
        <x:v>PvE старт</x:v>
      </x:c>
      <x:c r="D31" s="12" t="str">
        <x:v>Health Potion</x:v>
      </x:c>
      <x:c r="E31" s="12" t="str">
        <x:v>Potion_Health</x:v>
      </x:c>
      <x:c r="F31" s="12" t="n">
        <x:v>5</x:v>
      </x:c>
      <x:c r="G31" s="12" t="str">
        <x:v>ITEM_OK</x:v>
      </x:c>
    </x:row>
    <x:row r="32">
      <x:c r="A32" s="12" t="str">
        <x:v>PACK_ADVENTURER</x:v>
      </x:c>
      <x:c r="B32" s="12" t="str">
        <x:v>Adventurer Pack</x:v>
      </x:c>
      <x:c r="C32" s="12" t="str">
        <x:v>PvE старт</x:v>
      </x:c>
      <x:c r="D32" s="12" t="str">
        <x:v>Stamina Potion</x:v>
      </x:c>
      <x:c r="E32" s="12" t="str">
        <x:v>Potion_Stamina</x:v>
      </x:c>
      <x:c r="F32" s="12" t="n">
        <x:v>3</x:v>
      </x:c>
      <x:c r="G32" s="12" t="str">
        <x:v>ITEM_OK</x:v>
      </x:c>
    </x:row>
    <x:row r="33">
      <x:c r="A33" s="12" t="str">
        <x:v>PACK_ADVENTURER</x:v>
      </x:c>
      <x:c r="B33" s="12" t="str">
        <x:v>Adventurer Pack</x:v>
      </x:c>
      <x:c r="C33" s="12" t="str">
        <x:v>PvE старт</x:v>
      </x:c>
      <x:c r="D33" s="12" t="str">
        <x:v>Wooden Torch</x:v>
      </x:c>
      <x:c r="E33" s="12" t="str">
        <x:v>Wood_Torch_Wall</x:v>
      </x:c>
      <x:c r="F33" s="12" t="n">
        <x:v>32</x:v>
      </x:c>
      <x:c r="G33" s="12" t="str">
        <x:v>ITEM_OK</x:v>
      </x:c>
    </x:row>
    <x:row r="34">
      <x:c r="A34" s="12" t="str">
        <x:v>PACK_ADAMANTITE_SET</x:v>
      </x:c>
      <x:c r="B34" s="12" t="str">
        <x:v>Adamantite Set Pack</x:v>
      </x:c>
      <x:c r="C34" s="12" t="str">
        <x:v>Джекпот сет</x:v>
      </x:c>
      <x:c r="D34" s="12" t="str">
        <x:v>Adamantite Helm</x:v>
      </x:c>
      <x:c r="E34" s="12" t="str">
        <x:v>Armor_Adamantite_Head</x:v>
      </x:c>
      <x:c r="F34" s="12" t="n">
        <x:v>1</x:v>
      </x:c>
      <x:c r="G34" s="12" t="str">
        <x:v>ITEM_OK</x:v>
      </x:c>
    </x:row>
    <x:row r="35">
      <x:c r="A35" s="12" t="str">
        <x:v>PACK_ADAMANTITE_SET</x:v>
      </x:c>
      <x:c r="B35" s="12" t="str">
        <x:v>Adamantite Set Pack</x:v>
      </x:c>
      <x:c r="C35" s="12" t="str">
        <x:v>Джекпот сет</x:v>
      </x:c>
      <x:c r="D35" s="12" t="str">
        <x:v>Adamantite Cuirass</x:v>
      </x:c>
      <x:c r="E35" s="12" t="str">
        <x:v>Armor_Adamantite_Chest</x:v>
      </x:c>
      <x:c r="F35" s="12" t="n">
        <x:v>1</x:v>
      </x:c>
      <x:c r="G35" s="12" t="str">
        <x:v>ITEM_OK</x:v>
      </x:c>
    </x:row>
    <x:row r="36">
      <x:c r="A36" s="12" t="str">
        <x:v>PACK_ADAMANTITE_SET</x:v>
      </x:c>
      <x:c r="B36" s="12" t="str">
        <x:v>Adamantite Set Pack</x:v>
      </x:c>
      <x:c r="C36" s="12" t="str">
        <x:v>Джекпот сет</x:v>
      </x:c>
      <x:c r="D36" s="12" t="str">
        <x:v>Adamantite Gauntlets</x:v>
      </x:c>
      <x:c r="E36" s="12" t="str">
        <x:v>Armor_Adamantite_Hands</x:v>
      </x:c>
      <x:c r="F36" s="12" t="n">
        <x:v>1</x:v>
      </x:c>
      <x:c r="G36" s="12" t="str">
        <x:v>ITEM_OK</x:v>
      </x:c>
    </x:row>
    <x:row r="37">
      <x:c r="A37" s="12" t="str">
        <x:v>PACK_ADAMANTITE_SET</x:v>
      </x:c>
      <x:c r="B37" s="12" t="str">
        <x:v>Adamantite Set Pack</x:v>
      </x:c>
      <x:c r="C37" s="12" t="str">
        <x:v>Джекпот сет</x:v>
      </x:c>
      <x:c r="D37" s="12" t="str">
        <x:v>Adamantite Greaves</x:v>
      </x:c>
      <x:c r="E37" s="12" t="str">
        <x:v>Armor_Adamantite_Legs</x:v>
      </x:c>
      <x:c r="F37" s="12" t="n">
        <x:v>1</x:v>
      </x:c>
      <x:c r="G37" s="12" t="str">
        <x:v>ITEM_OK</x:v>
      </x:c>
    </x:row>
    <x:row r="38">
      <x:c r="A38" s="12" t="str">
        <x:v>PACK_MITHRIL_SET</x:v>
      </x:c>
      <x:c r="B38" s="12" t="str">
        <x:v>Mithril Set Pack</x:v>
      </x:c>
      <x:c r="C38" s="12" t="str">
        <x:v>Джекпот сет</x:v>
      </x:c>
      <x:c r="D38" s="12" t="str">
        <x:v>Mithril Helm</x:v>
      </x:c>
      <x:c r="E38" s="12" t="str">
        <x:v>Armor_Mithril_Head</x:v>
      </x:c>
      <x:c r="F38" s="12" t="n">
        <x:v>1</x:v>
      </x:c>
      <x:c r="G38" s="12" t="str">
        <x:v>ITEM_OK</x:v>
      </x:c>
    </x:row>
    <x:row r="39">
      <x:c r="A39" s="12" t="str">
        <x:v>PACK_MITHRIL_SET</x:v>
      </x:c>
      <x:c r="B39" s="12" t="str">
        <x:v>Mithril Set Pack</x:v>
      </x:c>
      <x:c r="C39" s="12" t="str">
        <x:v>Джекпот сет</x:v>
      </x:c>
      <x:c r="D39" s="12" t="str">
        <x:v>Mithril Cuirass</x:v>
      </x:c>
      <x:c r="E39" s="12" t="str">
        <x:v>Armor_Mithril_Chest</x:v>
      </x:c>
      <x:c r="F39" s="12" t="n">
        <x:v>1</x:v>
      </x:c>
      <x:c r="G39" s="12" t="str">
        <x:v>ITEM_OK</x:v>
      </x:c>
    </x:row>
    <x:row r="40">
      <x:c r="A40" s="12" t="str">
        <x:v>PACK_MITHRIL_SET</x:v>
      </x:c>
      <x:c r="B40" s="12" t="str">
        <x:v>Mithril Set Pack</x:v>
      </x:c>
      <x:c r="C40" s="12" t="str">
        <x:v>Джекпот сет</x:v>
      </x:c>
      <x:c r="D40" s="12" t="str">
        <x:v>Mithril Gauntlets</x:v>
      </x:c>
      <x:c r="E40" s="12" t="str">
        <x:v>Armor_Mithril_Hands</x:v>
      </x:c>
      <x:c r="F40" s="12" t="n">
        <x:v>1</x:v>
      </x:c>
      <x:c r="G40" s="12" t="str">
        <x:v>ITEM_OK</x:v>
      </x:c>
    </x:row>
    <x:row r="41">
      <x:c r="A41" s="12" t="str">
        <x:v>PACK_MITHRIL_SET</x:v>
      </x:c>
      <x:c r="B41" s="12" t="str">
        <x:v>Mithril Set Pack</x:v>
      </x:c>
      <x:c r="C41" s="12" t="str">
        <x:v>Джекпот сет</x:v>
      </x:c>
      <x:c r="D41" s="12" t="str">
        <x:v>Mithril Greaves</x:v>
      </x:c>
      <x:c r="E41" s="12" t="str">
        <x:v>Armor_Mithril_Legs</x:v>
      </x:c>
      <x:c r="F41" s="12" t="n">
        <x:v>1</x:v>
      </x:c>
      <x:c r="G41" s="12" t="str">
        <x:v>ITEM_OK</x:v>
      </x:c>
    </x:row>
  </x:sheetData>
  <x:pageMargins left="0.7" right="0.7" top="0.75" bottom="0.75" header="0.3" footer="0.3"/>
  <x:tableParts count="1">
    <x:tablePart xmlns:r="http://schemas.openxmlformats.org/officeDocument/2006/relationships" r:id="R1e7cac042e80405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8" hidden="0" customWidth="1"/>
    <x:col min="4" max="4" width="24" hidden="0" customWidth="1"/>
    <x:col min="5" max="5" width="12" hidden="0" customWidth="1"/>
  </x:cols>
  <x:sheetData>
    <x:row r="1">
      <x:c r="A1" s="10" t="str">
        <x:v>Item</x:v>
      </x:c>
      <x:c r="B1" s="10" t="str">
        <x:v>Item ID</x:v>
      </x:c>
      <x:c r="C1" s="10" t="str">
        <x:v>Строка в hytale_items.xlsx</x:v>
      </x:c>
      <x:c r="D1" s="10" t="str">
        <x:v>Источник</x:v>
      </x:c>
      <x:c r="E1" s="10" t="str">
        <x:v>Проверка</x:v>
      </x:c>
    </x:row>
    <x:row r="2">
      <x:c r="A2" s="12" t="str">
        <x:v>Adamantite Cuirass</x:v>
      </x:c>
      <x:c r="B2" s="12" t="str">
        <x:v>Armor_Adamantite_Chest</x:v>
      </x:c>
      <x:c r="C2" s="12" t="n">
        <x:v>4</x:v>
      </x:c>
      <x:c r="D2" s="12" t="str">
        <x:v>hytale_items.xlsx</x:v>
      </x:c>
      <x:c r="E2" s="12" t="str">
        <x:v>FOUND</x:v>
      </x:c>
    </x:row>
    <x:row r="3">
      <x:c r="A3" s="12" t="str">
        <x:v>Adamantite Gauntlets</x:v>
      </x:c>
      <x:c r="B3" s="12" t="str">
        <x:v>Armor_Adamantite_Hands</x:v>
      </x:c>
      <x:c r="C3" s="12" t="n">
        <x:v>6</x:v>
      </x:c>
      <x:c r="D3" s="12" t="str">
        <x:v>hytale_items.xlsx</x:v>
      </x:c>
      <x:c r="E3" s="12" t="str">
        <x:v>FOUND</x:v>
      </x:c>
    </x:row>
    <x:row r="4">
      <x:c r="A4" s="12" t="str">
        <x:v>Adamantite Greaves</x:v>
      </x:c>
      <x:c r="B4" s="12" t="str">
        <x:v>Armor_Adamantite_Legs</x:v>
      </x:c>
      <x:c r="C4" s="12" t="n">
        <x:v>7</x:v>
      </x:c>
      <x:c r="D4" s="12" t="str">
        <x:v>hytale_items.xlsx</x:v>
      </x:c>
      <x:c r="E4" s="12" t="str">
        <x:v>FOUND</x:v>
      </x:c>
    </x:row>
    <x:row r="5">
      <x:c r="A5" s="12" t="str">
        <x:v>Adamantite Helm</x:v>
      </x:c>
      <x:c r="B5" s="12" t="str">
        <x:v>Armor_Adamantite_Head</x:v>
      </x:c>
      <x:c r="C5" s="12" t="n">
        <x:v>9</x:v>
      </x:c>
      <x:c r="D5" s="12" t="str">
        <x:v>hytale_items.xlsx</x:v>
      </x:c>
      <x:c r="E5" s="12" t="str">
        <x:v>FOUND</x:v>
      </x:c>
    </x:row>
    <x:row r="6">
      <x:c r="A6" s="12" t="str">
        <x:v>Adamantite Ingot</x:v>
      </x:c>
      <x:c r="B6" s="12" t="str">
        <x:v>Ingredient_Bar_Adamantite</x:v>
      </x:c>
      <x:c r="C6" s="12" t="n">
        <x:v>10</x:v>
      </x:c>
      <x:c r="D6" s="12" t="str">
        <x:v>hytale_items.xlsx</x:v>
      </x:c>
      <x:c r="E6" s="12" t="str">
        <x:v>FOUND</x:v>
      </x:c>
    </x:row>
    <x:row r="7">
      <x:c r="A7" s="12" t="str">
        <x:v>Adamantite Longsword</x:v>
      </x:c>
      <x:c r="B7" s="12" t="str">
        <x:v>Weapon_Longsword_Adamantite</x:v>
      </x:c>
      <x:c r="C7" s="12" t="n">
        <x:v>11</x:v>
      </x:c>
      <x:c r="D7" s="12" t="str">
        <x:v>hytale_items.xlsx</x:v>
      </x:c>
      <x:c r="E7" s="12" t="str">
        <x:v>FOUND</x:v>
      </x:c>
    </x:row>
    <x:row r="8">
      <x:c r="A8" s="12" t="str">
        <x:v>Adamantite Staff</x:v>
      </x:c>
      <x:c r="B8" s="12" t="str">
        <x:v>Weapon_Staff_Adamantite</x:v>
      </x:c>
      <x:c r="C8" s="12" t="n">
        <x:v>27</x:v>
      </x:c>
      <x:c r="D8" s="12" t="str">
        <x:v>hytale_items.xlsx</x:v>
      </x:c>
      <x:c r="E8" s="12" t="str">
        <x:v>FOUND</x:v>
      </x:c>
    </x:row>
    <x:row r="9">
      <x:c r="A9" s="12" t="str">
        <x:v>Apple Leaves</x:v>
      </x:c>
      <x:c r="B9" s="12" t="str">
        <x:v>Plant_Leaves_Apple</x:v>
      </x:c>
      <x:c r="C9" s="12" t="n">
        <x:v>81</x:v>
      </x:c>
      <x:c r="D9" s="12" t="str">
        <x:v>hytale_items.xlsx</x:v>
      </x:c>
      <x:c r="E9" s="12" t="str">
        <x:v>FOUND</x:v>
      </x:c>
    </x:row>
    <x:row r="10">
      <x:c r="A10" s="12" t="str">
        <x:v>Apple Log</x:v>
      </x:c>
      <x:c r="B10" s="12" t="str">
        <x:v>Wood_Apple_Trunk</x:v>
      </x:c>
      <x:c r="C10" s="12" t="n">
        <x:v>82</x:v>
      </x:c>
      <x:c r="D10" s="12" t="str">
        <x:v>hytale_items.xlsx</x:v>
      </x:c>
      <x:c r="E10" s="12" t="str">
        <x:v>FOUND</x:v>
      </x:c>
    </x:row>
    <x:row r="11">
      <x:c r="A11" s="12" t="str">
        <x:v>Apple Seed Bag</x:v>
      </x:c>
      <x:c r="B11" s="12" t="str">
        <x:v>Plant_Seeds_Apple</x:v>
      </x:c>
      <x:c r="C11" s="12" t="n">
        <x:v>88</x:v>
      </x:c>
      <x:c r="D11" s="12" t="str">
        <x:v>hytale_items.xlsx</x:v>
      </x:c>
      <x:c r="E11" s="12" t="str">
        <x:v>FOUND</x:v>
      </x:c>
    </x:row>
    <x:row r="12">
      <x:c r="A12" s="12" t="str">
        <x:v>Berry Bush</x:v>
      </x:c>
      <x:c r="B12" s="12" t="str">
        <x:v>Plant_Crop_Berry_Block</x:v>
      </x:c>
      <x:c r="C12" s="12" t="n">
        <x:v>295</x:v>
      </x:c>
      <x:c r="D12" s="12" t="str">
        <x:v>hytale_items.xlsx</x:v>
      </x:c>
      <x:c r="E12" s="12" t="str">
        <x:v>FOUND</x:v>
      </x:c>
    </x:row>
    <x:row r="13">
      <x:c r="A13" s="12" t="str">
        <x:v>Carrot Seed Bag</x:v>
      </x:c>
      <x:c r="B13" s="12" t="str">
        <x:v>Plant_Seeds_Carrot</x:v>
      </x:c>
      <x:c r="C13" s="12" t="n">
        <x:v>592</x:v>
      </x:c>
      <x:c r="D13" s="12" t="str">
        <x:v>hytale_items.xlsx</x:v>
      </x:c>
      <x:c r="E13" s="12" t="str">
        <x:v>FOUND</x:v>
      </x:c>
    </x:row>
    <x:row r="14">
      <x:c r="A14" s="12" t="str">
        <x:v>Cobalt Cuirass</x:v>
      </x:c>
      <x:c r="B14" s="12" t="str">
        <x:v>Armor_Cobalt_Chest</x:v>
      </x:c>
      <x:c r="C14" s="12" t="n">
        <x:v>681</x:v>
      </x:c>
      <x:c r="D14" s="12" t="str">
        <x:v>hytale_items.xlsx</x:v>
      </x:c>
      <x:c r="E14" s="12" t="str">
        <x:v>FOUND</x:v>
      </x:c>
    </x:row>
    <x:row r="15">
      <x:c r="A15" s="12" t="str">
        <x:v>Cobalt Sword</x:v>
      </x:c>
      <x:c r="B15" s="12" t="str">
        <x:v>Weapon_Sword_Cobalt</x:v>
      </x:c>
      <x:c r="C15" s="12" t="n">
        <x:v>703</x:v>
      </x:c>
      <x:c r="D15" s="12" t="str">
        <x:v>hytale_items.xlsx</x:v>
      </x:c>
      <x:c r="E15" s="12" t="str">
        <x:v>FOUND</x:v>
      </x:c>
    </x:row>
    <x:row r="16">
      <x:c r="A16" s="12" t="str">
        <x:v>Cobblestone</x:v>
      </x:c>
      <x:c r="B16" s="12" t="str">
        <x:v>Rock_Stone_Cobble</x:v>
      </x:c>
      <x:c r="C16" s="12" t="n">
        <x:v>704</x:v>
      </x:c>
      <x:c r="D16" s="12" t="str">
        <x:v>hytale_items.xlsx</x:v>
      </x:c>
      <x:c r="E16" s="12" t="str">
        <x:v>FOUND</x:v>
      </x:c>
    </x:row>
    <x:row r="17">
      <x:c r="A17" s="12" t="str">
        <x:v>Crude Door</x:v>
      </x:c>
      <x:c r="B17" s="12" t="str">
        <x:v>Furniture_Crude_Door</x:v>
      </x:c>
      <x:c r="C17" s="12" t="n">
        <x:v>870</x:v>
      </x:c>
      <x:c r="D17" s="12" t="str">
        <x:v>hytale_items.xlsx</x:v>
      </x:c>
      <x:c r="E17" s="12" t="str">
        <x:v>FOUND</x:v>
      </x:c>
    </x:row>
    <x:row r="18">
      <x:c r="A18" s="12" t="str">
        <x:v>Dirt</x:v>
      </x:c>
      <x:c r="B18" s="12" t="str">
        <x:v>Soil_Dirt</x:v>
      </x:c>
      <x:c r="C18" s="12" t="n">
        <x:v>1058</x:v>
      </x:c>
      <x:c r="D18" s="12" t="str">
        <x:v>hytale_items.xlsx</x:v>
      </x:c>
      <x:c r="E18" s="12" t="str">
        <x:v>FOUND</x:v>
      </x:c>
    </x:row>
    <x:row r="19">
      <x:c r="A19" s="12" t="str">
        <x:v>Egg Spawner - Pet Lantern</x:v>
      </x:c>
      <x:c r="B19" s="12" t="str">
        <x:v>Egg_Spawner_Lantern</x:v>
      </x:c>
      <x:c r="C19" s="12" t="n">
        <x:v>1120</x:v>
      </x:c>
      <x:c r="D19" s="12" t="str">
        <x:v>hytale_items.xlsx</x:v>
      </x:c>
      <x:c r="E19" s="12" t="str">
        <x:v>FOUND</x:v>
      </x:c>
    </x:row>
    <x:row r="20">
      <x:c r="A20" s="12" t="str">
        <x:v>Empty Potion Bottle</x:v>
      </x:c>
      <x:c r="B20" s="12" t="str">
        <x:v>Potion_Empty</x:v>
      </x:c>
      <x:c r="C20" s="12" t="n">
        <x:v>1124</x:v>
      </x:c>
      <x:c r="D20" s="12" t="str">
        <x:v>hytale_items.xlsx</x:v>
      </x:c>
      <x:c r="E20" s="12" t="str">
        <x:v>FOUND</x:v>
      </x:c>
    </x:row>
    <x:row r="21">
      <x:c r="A21" s="12" t="str">
        <x:v>Empty Watering Can</x:v>
      </x:c>
      <x:c r="B21" s="12" t="str">
        <x:v>Template_Tool_Watering_Can</x:v>
      </x:c>
      <x:c r="C21" s="12" t="n">
        <x:v>1126</x:v>
      </x:c>
      <x:c r="D21" s="12" t="str">
        <x:v>hytale_items.xlsx</x:v>
      </x:c>
      <x:c r="E21" s="12" t="str">
        <x:v>FOUND</x:v>
      </x:c>
    </x:row>
    <x:row r="22">
      <x:c r="A22" s="12" t="str">
        <x:v>Energy Potion</x:v>
      </x:c>
      <x:c r="B22" s="12" t="str">
        <x:v>Potion_Signature</x:v>
      </x:c>
      <x:c r="C22" s="12" t="n">
        <x:v>1127</x:v>
      </x:c>
      <x:c r="D22" s="12" t="str">
        <x:v>hytale_items.xlsx</x:v>
      </x:c>
      <x:c r="E22" s="12" t="str">
        <x:v>FOUND</x:v>
      </x:c>
    </x:row>
    <x:row r="23">
      <x:c r="A23" s="12" t="str">
        <x:v>Essence of Fire</x:v>
      </x:c>
      <x:c r="B23" s="12" t="str">
        <x:v>Ingredient_Fire_Essence</x:v>
      </x:c>
      <x:c r="C23" s="12" t="n">
        <x:v>1129</x:v>
      </x:c>
      <x:c r="D23" s="12" t="str">
        <x:v>hytale_items.xlsx</x:v>
      </x:c>
      <x:c r="E23" s="12" t="str">
        <x:v>FOUND</x:v>
      </x:c>
    </x:row>
    <x:row r="24">
      <x:c r="A24" s="12" t="str">
        <x:v>Essence of Ice</x:v>
      </x:c>
      <x:c r="B24" s="12" t="str">
        <x:v>Ingredient_Ice_Essence</x:v>
      </x:c>
      <x:c r="C24" s="12" t="n">
        <x:v>1130</x:v>
      </x:c>
      <x:c r="D24" s="12" t="str">
        <x:v>hytale_items.xlsx</x:v>
      </x:c>
      <x:c r="E24" s="12" t="str">
        <x:v>FOUND</x:v>
      </x:c>
    </x:row>
    <x:row r="25">
      <x:c r="A25" s="12" t="str">
        <x:v>Essence of Life</x:v>
      </x:c>
      <x:c r="B25" s="12" t="str">
        <x:v>Ingredient_Life_Essence_Tomato</x:v>
      </x:c>
      <x:c r="C25" s="12" t="n">
        <x:v>1146</x:v>
      </x:c>
      <x:c r="D25" s="12" t="str">
        <x:v>hytale_items.xlsx</x:v>
      </x:c>
      <x:c r="E25" s="12" t="str">
        <x:v>FOUND</x:v>
      </x:c>
    </x:row>
    <x:row r="26">
      <x:c r="A26" s="12" t="str">
        <x:v>Fertilizer Bag</x:v>
      </x:c>
      <x:c r="B26" s="12" t="str">
        <x:v>Tool_Fertilizer</x:v>
      </x:c>
      <x:c r="C26" s="12" t="n">
        <x:v>1180</x:v>
      </x:c>
      <x:c r="D26" s="12" t="str">
        <x:v>hytale_items.xlsx</x:v>
      </x:c>
      <x:c r="E26" s="12" t="str">
        <x:v>FOUND</x:v>
      </x:c>
    </x:row>
    <x:row r="27">
      <x:c r="A27" s="12" t="str">
        <x:v>Full Grass</x:v>
      </x:c>
      <x:c r="B27" s="12" t="str">
        <x:v>Soil_Grass_Full</x:v>
      </x:c>
      <x:c r="C27" s="12" t="n">
        <x:v>1281</x:v>
      </x:c>
      <x:c r="D27" s="12" t="str">
        <x:v>hytale_items.xlsx</x:v>
      </x:c>
      <x:c r="E27" s="12" t="str">
        <x:v>FOUND</x:v>
      </x:c>
    </x:row>
    <x:row r="28">
      <x:c r="A28" s="12" t="str">
        <x:v>Greater Health Potion</x:v>
      </x:c>
      <x:c r="B28" s="12" t="str">
        <x:v>Potion_Health_Greater</x:v>
      </x:c>
      <x:c r="C28" s="12" t="n">
        <x:v>1392</x:v>
      </x:c>
      <x:c r="D28" s="12" t="str">
        <x:v>hytale_items.xlsx</x:v>
      </x:c>
      <x:c r="E28" s="12" t="str">
        <x:v>FOUND</x:v>
      </x:c>
    </x:row>
    <x:row r="29">
      <x:c r="A29" s="12" t="str">
        <x:v>Health Potion</x:v>
      </x:c>
      <x:c r="B29" s="12" t="str">
        <x:v>Potion_Health</x:v>
      </x:c>
      <x:c r="C29" s="12" t="n">
        <x:v>1504</x:v>
      </x:c>
      <x:c r="D29" s="12" t="str">
        <x:v>hytale_items.xlsx</x:v>
      </x:c>
      <x:c r="E29" s="12" t="str">
        <x:v>FOUND</x:v>
      </x:c>
    </x:row>
    <x:row r="30">
      <x:c r="A30" s="12" t="str">
        <x:v>Iron Longsword</x:v>
      </x:c>
      <x:c r="B30" s="12" t="str">
        <x:v>Weapon_Longsword_Iron</x:v>
      </x:c>
      <x:c r="C30" s="12" t="n">
        <x:v>1591</x:v>
      </x:c>
      <x:c r="D30" s="12" t="str">
        <x:v>hytale_items.xlsx</x:v>
      </x:c>
      <x:c r="E30" s="12" t="str">
        <x:v>FOUND</x:v>
      </x:c>
    </x:row>
    <x:row r="31">
      <x:c r="A31" s="12" t="str">
        <x:v>Iron Shield</x:v>
      </x:c>
      <x:c r="B31" s="12" t="str">
        <x:v>Weapon_Shield_Iron</x:v>
      </x:c>
      <x:c r="C31" s="12" t="n">
        <x:v>1613</x:v>
      </x:c>
      <x:c r="D31" s="12" t="str">
        <x:v>hytale_items.xlsx</x:v>
      </x:c>
      <x:c r="E31" s="12" t="str">
        <x:v>FOUND</x:v>
      </x:c>
    </x:row>
    <x:row r="32">
      <x:c r="A32" s="12" t="str">
        <x:v>Iron Shortbow</x:v>
      </x:c>
      <x:c r="B32" s="12" t="str">
        <x:v>Weapon_Shortbow_Iron</x:v>
      </x:c>
      <x:c r="C32" s="12" t="n">
        <x:v>1614</x:v>
      </x:c>
      <x:c r="D32" s="12" t="str">
        <x:v>hytale_items.xlsx</x:v>
      </x:c>
      <x:c r="E32" s="12" t="str">
        <x:v>FOUND</x:v>
      </x:c>
    </x:row>
    <x:row r="33">
      <x:c r="A33" s="12" t="str">
        <x:v>Ivy</x:v>
      </x:c>
      <x:c r="B33" s="12" t="str">
        <x:v>Plant_Vine_Wall</x:v>
      </x:c>
      <x:c r="C33" s="12" t="n">
        <x:v>1621</x:v>
      </x:c>
      <x:c r="D33" s="12" t="str">
        <x:v>hytale_items.xlsx</x:v>
      </x:c>
      <x:c r="E33" s="12" t="str">
        <x:v>FOUND</x:v>
      </x:c>
    </x:row>
    <x:row r="34">
      <x:c r="A34" s="12" t="str">
        <x:v>Mithril Cuirass</x:v>
      </x:c>
      <x:c r="B34" s="12" t="str">
        <x:v>Armor_Mithril_Chest</x:v>
      </x:c>
      <x:c r="C34" s="12" t="n">
        <x:v>2037</x:v>
      </x:c>
      <x:c r="D34" s="12" t="str">
        <x:v>hytale_items.xlsx</x:v>
      </x:c>
      <x:c r="E34" s="12" t="str">
        <x:v>FOUND</x:v>
      </x:c>
    </x:row>
    <x:row r="35">
      <x:c r="A35" s="12" t="str">
        <x:v>Mithril Gauntlets</x:v>
      </x:c>
      <x:c r="B35" s="12" t="str">
        <x:v>Armor_Mithril_Hands</x:v>
      </x:c>
      <x:c r="C35" s="12" t="n">
        <x:v>2039</x:v>
      </x:c>
      <x:c r="D35" s="12" t="str">
        <x:v>hytale_items.xlsx</x:v>
      </x:c>
      <x:c r="E35" s="12" t="str">
        <x:v>FOUND</x:v>
      </x:c>
    </x:row>
    <x:row r="36">
      <x:c r="A36" s="12" t="str">
        <x:v>Mithril Greaves</x:v>
      </x:c>
      <x:c r="B36" s="12" t="str">
        <x:v>Armor_Mithril_Legs</x:v>
      </x:c>
      <x:c r="C36" s="12" t="n">
        <x:v>2040</x:v>
      </x:c>
      <x:c r="D36" s="12" t="str">
        <x:v>hytale_items.xlsx</x:v>
      </x:c>
      <x:c r="E36" s="12" t="str">
        <x:v>FOUND</x:v>
      </x:c>
    </x:row>
    <x:row r="37">
      <x:c r="A37" s="12" t="str">
        <x:v>Mithril Helm</x:v>
      </x:c>
      <x:c r="B37" s="12" t="str">
        <x:v>Armor_Mithril_Head</x:v>
      </x:c>
      <x:c r="C37" s="12" t="n">
        <x:v>2042</x:v>
      </x:c>
      <x:c r="D37" s="12" t="str">
        <x:v>hytale_items.xlsx</x:v>
      </x:c>
      <x:c r="E37" s="12" t="str">
        <x:v>FOUND</x:v>
      </x:c>
    </x:row>
    <x:row r="38">
      <x:c r="A38" s="12" t="str">
        <x:v>Mithril Longsword</x:v>
      </x:c>
      <x:c r="B38" s="12" t="str">
        <x:v>Weapon_Longsword_Mithril</x:v>
      </x:c>
      <x:c r="C38" s="12" t="n">
        <x:v>2044</x:v>
      </x:c>
      <x:c r="D38" s="12" t="str">
        <x:v>hytale_items.xlsx</x:v>
      </x:c>
      <x:c r="E38" s="12" t="str">
        <x:v>FOUND</x:v>
      </x:c>
    </x:row>
    <x:row r="39">
      <x:c r="A39" s="12" t="str">
        <x:v>Moss</x:v>
      </x:c>
      <x:c r="B39" s="12" t="str">
        <x:v>Plant_Moss_Green</x:v>
      </x:c>
      <x:c r="C39" s="12" t="n">
        <x:v>2089</x:v>
      </x:c>
      <x:c r="D39" s="12" t="str">
        <x:v>hytale_items.xlsx</x:v>
      </x:c>
      <x:c r="E39" s="12" t="str">
        <x:v>FOUND</x:v>
      </x:c>
    </x:row>
    <x:row r="40">
      <x:c r="A40" s="12" t="str">
        <x:v>Onyxium Staff</x:v>
      </x:c>
      <x:c r="B40" s="12" t="str">
        <x:v>Weapon_Staff_Onyxium</x:v>
      </x:c>
      <x:c r="C40" s="12" t="n">
        <x:v>2172</x:v>
      </x:c>
      <x:c r="D40" s="12" t="str">
        <x:v>hytale_items.xlsx</x:v>
      </x:c>
      <x:c r="E40" s="12" t="str">
        <x:v>FOUND</x:v>
      </x:c>
    </x:row>
    <x:row r="41">
      <x:c r="A41" s="12" t="str">
        <x:v>Pet Collar</x:v>
      </x:c>
      <x:c r="B41" s="12" t="str">
        <x:v>Farming_Collar</x:v>
      </x:c>
      <x:c r="C41" s="12" t="n">
        <x:v>2264</x:v>
      </x:c>
      <x:c r="D41" s="12" t="str">
        <x:v>hytale_items.xlsx</x:v>
      </x:c>
      <x:c r="E41" s="12" t="str">
        <x:v>FOUND</x:v>
      </x:c>
    </x:row>
    <x:row r="42">
      <x:c r="A42" s="12" t="str">
        <x:v>Plant Fiber</x:v>
      </x:c>
      <x:c r="B42" s="12" t="str">
        <x:v>Ingredient_Fibre</x:v>
      </x:c>
      <x:c r="C42" s="12" t="n">
        <x:v>2305</x:v>
      </x:c>
      <x:c r="D42" s="12" t="str">
        <x:v>hytale_items.xlsx</x:v>
      </x:c>
      <x:c r="E42" s="12" t="str">
        <x:v>FOUND</x:v>
      </x:c>
    </x:row>
    <x:row r="43">
      <x:c r="A43" s="12" t="str">
        <x:v>Red Petals</x:v>
      </x:c>
      <x:c r="B43" s="12" t="str">
        <x:v>Plant_Petals_Red</x:v>
      </x:c>
      <x:c r="C43" s="12" t="n">
        <x:v>2633</x:v>
      </x:c>
      <x:c r="D43" s="12" t="str">
        <x:v>hytale_items.xlsx</x:v>
      </x:c>
      <x:c r="E43" s="12" t="str">
        <x:v>FOUND</x:v>
      </x:c>
    </x:row>
    <x:row r="44">
      <x:c r="A44" s="12" t="str">
        <x:v>Stamina Potion</x:v>
      </x:c>
      <x:c r="B44" s="12" t="str">
        <x:v>Potion_Stamina</x:v>
      </x:c>
      <x:c r="C44" s="12" t="n">
        <x:v>3105</x:v>
      </x:c>
      <x:c r="D44" s="12" t="str">
        <x:v>hytale_items.xlsx</x:v>
      </x:c>
      <x:c r="E44" s="12" t="str">
        <x:v>FOUND</x:v>
      </x:c>
    </x:row>
    <x:row r="45">
      <x:c r="A45" s="12" t="str">
        <x:v>Stone</x:v>
      </x:c>
      <x:c r="B45" s="12" t="str">
        <x:v>Rock_Stone</x:v>
      </x:c>
      <x:c r="C45" s="12" t="n">
        <x:v>3119</x:v>
      </x:c>
      <x:c r="D45" s="12" t="str">
        <x:v>hytale_items.xlsx</x:v>
      </x:c>
      <x:c r="E45" s="12" t="str">
        <x:v>FOUND</x:v>
      </x:c>
    </x:row>
    <x:row r="46">
      <x:c r="A46" s="12" t="str">
        <x:v>Thorium Staff</x:v>
      </x:c>
      <x:c r="B46" s="12" t="str">
        <x:v>Weapon_Staff_Thorium</x:v>
      </x:c>
      <x:c r="C46" s="12" t="n">
        <x:v>3286</x:v>
      </x:c>
      <x:c r="D46" s="12" t="str">
        <x:v>hytale_items.xlsx</x:v>
      </x:c>
      <x:c r="E46" s="12" t="str">
        <x:v>FOUND</x:v>
      </x:c>
    </x:row>
    <x:row r="47">
      <x:c r="A47" s="12" t="str">
        <x:v>Thorium Sword</x:v>
      </x:c>
      <x:c r="B47" s="12" t="str">
        <x:v>Weapon_Sword_Thorium</x:v>
      </x:c>
      <x:c r="C47" s="12" t="n">
        <x:v>3287</x:v>
      </x:c>
      <x:c r="D47" s="12" t="str">
        <x:v>hytale_items.xlsx</x:v>
      </x:c>
      <x:c r="E47" s="12" t="str">
        <x:v>FOUND</x:v>
      </x:c>
    </x:row>
    <x:row r="48">
      <x:c r="A48" s="12" t="str">
        <x:v>Tree Sap</x:v>
      </x:c>
      <x:c r="B48" s="12" t="str">
        <x:v>Ingredient_Tree_Sap</x:v>
      </x:c>
      <x:c r="C48" s="12" t="n">
        <x:v>3301</x:v>
      </x:c>
      <x:c r="D48" s="12" t="str">
        <x:v>hytale_items.xlsx</x:v>
      </x:c>
      <x:c r="E48" s="12" t="str">
        <x:v>FOUND</x:v>
      </x:c>
    </x:row>
    <x:row r="49">
      <x:c r="A49" s="12" t="str">
        <x:v>Void Grimoire</x:v>
      </x:c>
      <x:c r="B49" s="12" t="str">
        <x:v>Recipe_Book_Magic_Void</x:v>
      </x:c>
      <x:c r="C49" s="12" t="n">
        <x:v>3353</x:v>
      </x:c>
      <x:c r="D49" s="12" t="str">
        <x:v>hytale_items.xlsx</x:v>
      </x:c>
      <x:c r="E49" s="12" t="str">
        <x:v>FOUND</x:v>
      </x:c>
    </x:row>
    <x:row r="50">
      <x:c r="A50" s="12" t="str">
        <x:v>Void Longsword</x:v>
      </x:c>
      <x:c r="B50" s="12" t="str">
        <x:v>Weapon_Longsword_Void</x:v>
      </x:c>
      <x:c r="C50" s="12" t="n">
        <x:v>3355</x:v>
      </x:c>
      <x:c r="D50" s="12" t="str">
        <x:v>hytale_items.xlsx</x:v>
      </x:c>
      <x:c r="E50" s="12" t="str">
        <x:v>FOUND</x:v>
      </x:c>
    </x:row>
    <x:row r="51">
      <x:c r="A51" s="12" t="str">
        <x:v>Wheat Seed Bag</x:v>
      </x:c>
      <x:c r="B51" s="12" t="str">
        <x:v>Plant_Seeds_Wheat</x:v>
      </x:c>
      <x:c r="C51" s="12" t="n">
        <x:v>3416</x:v>
      </x:c>
      <x:c r="D51" s="12" t="str">
        <x:v>hytale_items.xlsx</x:v>
      </x:c>
      <x:c r="E51" s="12" t="str">
        <x:v>FOUND</x:v>
      </x:c>
    </x:row>
    <x:row r="52">
      <x:c r="A52" s="12" t="str">
        <x:v>Wooden Torch</x:v>
      </x:c>
      <x:c r="B52" s="12" t="str">
        <x:v>Wood_Torch_Wall</x:v>
      </x:c>
      <x:c r="C52" s="12" t="n">
        <x:v>3577</x:v>
      </x:c>
      <x:c r="D52" s="12" t="str">
        <x:v>hytale_items.xlsx</x:v>
      </x:c>
      <x:c r="E52" s="12" t="str">
        <x:v>FOUND</x:v>
      </x:c>
    </x:row>
    <x:row r="53">
      <x:c r="A53" s="12" t="str">
        <x:v>Workbench</x:v>
      </x:c>
      <x:c r="B53" s="12" t="str">
        <x:v>Bench_WorkBench</x:v>
      </x:c>
      <x:c r="C53" s="12" t="n">
        <x:v>3603</x:v>
      </x:c>
      <x:c r="D53" s="12" t="str">
        <x:v>hytale_items.xlsx</x:v>
      </x:c>
      <x:c r="E53" s="12" t="str">
        <x:v>FOUND</x:v>
      </x:c>
    </x:row>
  </x:sheetData>
  <x:pageMargins left="0.7" right="0.7" top="0.75" bottom="0.75" header="0.3" footer="0.3"/>
  <x:tableParts count="1">
    <x:tablePart xmlns:r="http://schemas.openxmlformats.org/officeDocument/2006/relationships" r:id="R6762975063b94021"/>
  </x:tableParts>
</x:worksheet>
</file>